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osai\Downloads\"/>
    </mc:Choice>
  </mc:AlternateContent>
  <xr:revisionPtr revIDLastSave="0" documentId="13_ncr:1_{031E3F8B-EB2F-41AC-99D8-7BA7CF6CA68C}" xr6:coauthVersionLast="47" xr6:coauthVersionMax="47" xr10:uidLastSave="{00000000-0000-0000-0000-000000000000}"/>
  <bookViews>
    <workbookView xWindow="-108" yWindow="-108" windowWidth="23256" windowHeight="12456" activeTab="1" xr2:uid="{00000000-000D-0000-FFFF-FFFF00000000}"/>
  </bookViews>
  <sheets>
    <sheet name="Project Instructions" sheetId="1" r:id="rId1"/>
    <sheet name="Students Grade" sheetId="2" r:id="rId2"/>
    <sheet name="Sales Data" sheetId="3" r:id="rId3"/>
    <sheet name="Employee Data" sheetId="4" r:id="rId4"/>
  </sheets>
  <definedNames>
    <definedName name="_xlnm._FilterDatabase" localSheetId="3" hidden="1">'Employee Data'!$A$1:$L$22</definedName>
    <definedName name="_xlnm._FilterDatabase" localSheetId="2" hidden="1">'Sales Data'!$A$1:$N$22</definedName>
    <definedName name="_xlnm._FilterDatabase" localSheetId="1" hidden="1">'Students Grade'!$A$1:$L$22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7" i="4" l="1"/>
  <c r="Q36" i="4"/>
  <c r="P36" i="4"/>
  <c r="O36" i="4"/>
  <c r="Q35" i="4"/>
  <c r="P35" i="4"/>
  <c r="O35" i="4"/>
  <c r="Q34" i="4"/>
  <c r="P34" i="4"/>
  <c r="O34" i="4"/>
  <c r="Q33" i="4"/>
  <c r="Q37" i="4" s="1"/>
  <c r="P33" i="4"/>
  <c r="O33" i="4"/>
  <c r="O37" i="4" s="1"/>
  <c r="O29" i="4"/>
  <c r="O28" i="4"/>
  <c r="O26" i="4"/>
  <c r="O27" i="4" s="1"/>
  <c r="O25" i="4"/>
  <c r="L21" i="4"/>
  <c r="K21" i="4"/>
  <c r="J21" i="4"/>
  <c r="I21" i="4"/>
  <c r="H21" i="4"/>
  <c r="G21" i="4"/>
  <c r="L20" i="4"/>
  <c r="K20" i="4"/>
  <c r="J20" i="4"/>
  <c r="I20" i="4"/>
  <c r="H20" i="4"/>
  <c r="G20" i="4"/>
  <c r="O19" i="4"/>
  <c r="L19" i="4"/>
  <c r="K19" i="4"/>
  <c r="J19" i="4"/>
  <c r="I19" i="4"/>
  <c r="H19" i="4"/>
  <c r="G19" i="4"/>
  <c r="L18" i="4"/>
  <c r="K18" i="4"/>
  <c r="J18" i="4"/>
  <c r="I18" i="4"/>
  <c r="H18" i="4"/>
  <c r="G18" i="4"/>
  <c r="L17" i="4"/>
  <c r="K17" i="4"/>
  <c r="J17" i="4"/>
  <c r="I17" i="4"/>
  <c r="H17" i="4"/>
  <c r="G17" i="4"/>
  <c r="L16" i="4"/>
  <c r="K16" i="4"/>
  <c r="J16" i="4"/>
  <c r="I16" i="4"/>
  <c r="H16" i="4"/>
  <c r="G16" i="4"/>
  <c r="I15" i="4"/>
  <c r="H15" i="4"/>
  <c r="O14" i="4"/>
  <c r="L14" i="4"/>
  <c r="K14" i="4"/>
  <c r="J14" i="4"/>
  <c r="I14" i="4"/>
  <c r="H14" i="4"/>
  <c r="G14" i="4"/>
  <c r="L13" i="4"/>
  <c r="K13" i="4"/>
  <c r="J13" i="4"/>
  <c r="I13" i="4"/>
  <c r="H13" i="4"/>
  <c r="G13" i="4"/>
  <c r="L12" i="4"/>
  <c r="K12" i="4"/>
  <c r="J12" i="4"/>
  <c r="I12" i="4"/>
  <c r="H12" i="4"/>
  <c r="G12" i="4"/>
  <c r="L11" i="4"/>
  <c r="K11" i="4"/>
  <c r="J11" i="4"/>
  <c r="I11" i="4"/>
  <c r="H11" i="4"/>
  <c r="G11" i="4"/>
  <c r="O10" i="4"/>
  <c r="L10" i="4"/>
  <c r="K10" i="4"/>
  <c r="J10" i="4"/>
  <c r="I10" i="4"/>
  <c r="H10" i="4"/>
  <c r="G10" i="4"/>
  <c r="O9" i="4"/>
  <c r="L9" i="4"/>
  <c r="K9" i="4"/>
  <c r="J9" i="4"/>
  <c r="I9" i="4"/>
  <c r="H9" i="4"/>
  <c r="G9" i="4"/>
  <c r="O8" i="4"/>
  <c r="L8" i="4"/>
  <c r="K8" i="4"/>
  <c r="J8" i="4"/>
  <c r="I8" i="4"/>
  <c r="H8" i="4"/>
  <c r="G8" i="4"/>
  <c r="O7" i="4"/>
  <c r="L7" i="4"/>
  <c r="K7" i="4"/>
  <c r="J7" i="4"/>
  <c r="I7" i="4"/>
  <c r="H7" i="4"/>
  <c r="G7" i="4"/>
  <c r="L6" i="4"/>
  <c r="I6" i="4"/>
  <c r="H6" i="4"/>
  <c r="I5" i="4"/>
  <c r="H5" i="4"/>
  <c r="I4" i="4"/>
  <c r="H4" i="4"/>
  <c r="O3" i="4"/>
  <c r="L3" i="4"/>
  <c r="K3" i="4"/>
  <c r="J3" i="4"/>
  <c r="I3" i="4"/>
  <c r="H3" i="4"/>
  <c r="G3" i="4"/>
  <c r="L2" i="4"/>
  <c r="K2" i="4"/>
  <c r="J2" i="4"/>
  <c r="I2" i="4"/>
  <c r="H2" i="4"/>
  <c r="G2" i="4"/>
  <c r="Q51" i="3"/>
  <c r="Q48" i="3"/>
  <c r="Q47" i="3"/>
  <c r="Q44" i="3"/>
  <c r="Q41" i="3"/>
  <c r="Q38" i="3"/>
  <c r="Q37" i="3"/>
  <c r="Q36" i="3"/>
  <c r="Q29" i="3"/>
  <c r="Q25" i="3"/>
  <c r="Q24" i="3"/>
  <c r="K21" i="3"/>
  <c r="L21" i="3" s="1"/>
  <c r="G21" i="3"/>
  <c r="H21" i="3" s="1"/>
  <c r="I21" i="3" s="1"/>
  <c r="J21" i="3" s="1"/>
  <c r="K20" i="3"/>
  <c r="L20" i="3" s="1"/>
  <c r="G20" i="3"/>
  <c r="H20" i="3" s="1"/>
  <c r="I20" i="3" s="1"/>
  <c r="J20" i="3" s="1"/>
  <c r="K19" i="3"/>
  <c r="L19" i="3" s="1"/>
  <c r="G19" i="3"/>
  <c r="H19" i="3" s="1"/>
  <c r="I19" i="3" s="1"/>
  <c r="J19" i="3" s="1"/>
  <c r="K18" i="3"/>
  <c r="L18" i="3" s="1"/>
  <c r="G18" i="3"/>
  <c r="H18" i="3" s="1"/>
  <c r="I18" i="3" s="1"/>
  <c r="J18" i="3" s="1"/>
  <c r="K17" i="3"/>
  <c r="L17" i="3" s="1"/>
  <c r="G17" i="3"/>
  <c r="H17" i="3" s="1"/>
  <c r="I17" i="3" s="1"/>
  <c r="J17" i="3" s="1"/>
  <c r="K16" i="3"/>
  <c r="L16" i="3" s="1"/>
  <c r="G16" i="3"/>
  <c r="H16" i="3" s="1"/>
  <c r="I16" i="3" s="1"/>
  <c r="J16" i="3" s="1"/>
  <c r="K15" i="3"/>
  <c r="L15" i="3" s="1"/>
  <c r="G15" i="3"/>
  <c r="H15" i="3" s="1"/>
  <c r="I15" i="3" s="1"/>
  <c r="J15" i="3" s="1"/>
  <c r="K14" i="3"/>
  <c r="L14" i="3" s="1"/>
  <c r="G14" i="3"/>
  <c r="H14" i="3" s="1"/>
  <c r="I14" i="3" s="1"/>
  <c r="J14" i="3" s="1"/>
  <c r="K13" i="3"/>
  <c r="L13" i="3" s="1"/>
  <c r="G13" i="3"/>
  <c r="H13" i="3" s="1"/>
  <c r="I13" i="3" s="1"/>
  <c r="J13" i="3" s="1"/>
  <c r="K12" i="3"/>
  <c r="L12" i="3" s="1"/>
  <c r="G12" i="3"/>
  <c r="H12" i="3" s="1"/>
  <c r="I12" i="3" s="1"/>
  <c r="J12" i="3" s="1"/>
  <c r="K11" i="3"/>
  <c r="L11" i="3" s="1"/>
  <c r="G11" i="3"/>
  <c r="H11" i="3" s="1"/>
  <c r="I11" i="3" s="1"/>
  <c r="J11" i="3" s="1"/>
  <c r="K10" i="3"/>
  <c r="L10" i="3" s="1"/>
  <c r="G10" i="3"/>
  <c r="H10" i="3" s="1"/>
  <c r="I10" i="3" s="1"/>
  <c r="J10" i="3" s="1"/>
  <c r="K9" i="3"/>
  <c r="L9" i="3" s="1"/>
  <c r="G9" i="3"/>
  <c r="H9" i="3" s="1"/>
  <c r="I9" i="3" s="1"/>
  <c r="J9" i="3" s="1"/>
  <c r="K8" i="3"/>
  <c r="L8" i="3" s="1"/>
  <c r="G8" i="3"/>
  <c r="H8" i="3" s="1"/>
  <c r="I8" i="3" s="1"/>
  <c r="J8" i="3" s="1"/>
  <c r="K7" i="3"/>
  <c r="L7" i="3" s="1"/>
  <c r="G7" i="3"/>
  <c r="H7" i="3" s="1"/>
  <c r="I7" i="3" s="1"/>
  <c r="J7" i="3" s="1"/>
  <c r="K6" i="3"/>
  <c r="L6" i="3" s="1"/>
  <c r="G6" i="3"/>
  <c r="H6" i="3" s="1"/>
  <c r="I6" i="3" s="1"/>
  <c r="J6" i="3" s="1"/>
  <c r="K5" i="3"/>
  <c r="L5" i="3" s="1"/>
  <c r="G5" i="3"/>
  <c r="H5" i="3" s="1"/>
  <c r="I5" i="3" s="1"/>
  <c r="J5" i="3" s="1"/>
  <c r="K4" i="3"/>
  <c r="L4" i="3" s="1"/>
  <c r="G4" i="3"/>
  <c r="H4" i="3" s="1"/>
  <c r="I4" i="3" s="1"/>
  <c r="J4" i="3" s="1"/>
  <c r="K3" i="3"/>
  <c r="L3" i="3" s="1"/>
  <c r="G3" i="3"/>
  <c r="H3" i="3" s="1"/>
  <c r="I3" i="3" s="1"/>
  <c r="J3" i="3" s="1"/>
  <c r="K2" i="3"/>
  <c r="L2" i="3" s="1"/>
  <c r="Q33" i="3" s="1"/>
  <c r="G2" i="3"/>
  <c r="H2" i="3" s="1"/>
  <c r="I2" i="3" s="1"/>
  <c r="P27" i="2"/>
  <c r="P22" i="2"/>
  <c r="P21" i="2"/>
  <c r="L21" i="2"/>
  <c r="K21" i="2"/>
  <c r="J21" i="2"/>
  <c r="I21" i="2"/>
  <c r="G21" i="2"/>
  <c r="H21" i="2" s="1"/>
  <c r="P20" i="2"/>
  <c r="L20" i="2"/>
  <c r="K20" i="2"/>
  <c r="J20" i="2"/>
  <c r="I20" i="2"/>
  <c r="G20" i="2"/>
  <c r="H20" i="2" s="1"/>
  <c r="P19" i="2"/>
  <c r="L19" i="2"/>
  <c r="K19" i="2"/>
  <c r="J19" i="2"/>
  <c r="I19" i="2"/>
  <c r="G19" i="2"/>
  <c r="H19" i="2" s="1"/>
  <c r="P18" i="2"/>
  <c r="L18" i="2"/>
  <c r="K18" i="2"/>
  <c r="J18" i="2"/>
  <c r="I18" i="2"/>
  <c r="G18" i="2"/>
  <c r="H18" i="2" s="1"/>
  <c r="L17" i="2"/>
  <c r="K17" i="2"/>
  <c r="J17" i="2"/>
  <c r="I17" i="2"/>
  <c r="G17" i="2"/>
  <c r="H17" i="2" s="1"/>
  <c r="L16" i="2"/>
  <c r="K16" i="2"/>
  <c r="J16" i="2"/>
  <c r="I16" i="2"/>
  <c r="G16" i="2"/>
  <c r="H16" i="2" s="1"/>
  <c r="L15" i="2"/>
  <c r="K15" i="2"/>
  <c r="J15" i="2"/>
  <c r="I15" i="2"/>
  <c r="G15" i="2"/>
  <c r="H15" i="2" s="1"/>
  <c r="L14" i="2"/>
  <c r="K14" i="2"/>
  <c r="J14" i="2"/>
  <c r="I14" i="2"/>
  <c r="G14" i="2"/>
  <c r="H14" i="2" s="1"/>
  <c r="L13" i="2"/>
  <c r="K13" i="2"/>
  <c r="J13" i="2"/>
  <c r="I13" i="2"/>
  <c r="G13" i="2"/>
  <c r="L12" i="2"/>
  <c r="K12" i="2"/>
  <c r="J12" i="2"/>
  <c r="I12" i="2"/>
  <c r="H12" i="2"/>
  <c r="G12" i="2"/>
  <c r="L11" i="2"/>
  <c r="K11" i="2"/>
  <c r="J11" i="2"/>
  <c r="I11" i="2"/>
  <c r="G11" i="2"/>
  <c r="H11" i="2" s="1"/>
  <c r="L10" i="2"/>
  <c r="K10" i="2"/>
  <c r="J10" i="2"/>
  <c r="I10" i="2"/>
  <c r="G10" i="2"/>
  <c r="H10" i="2" s="1"/>
  <c r="L9" i="2"/>
  <c r="K9" i="2"/>
  <c r="J9" i="2"/>
  <c r="I9" i="2"/>
  <c r="G9" i="2"/>
  <c r="H9" i="2" s="1"/>
  <c r="L8" i="2"/>
  <c r="K8" i="2"/>
  <c r="J8" i="2"/>
  <c r="I8" i="2"/>
  <c r="G8" i="2"/>
  <c r="H8" i="2" s="1"/>
  <c r="L7" i="2"/>
  <c r="K7" i="2"/>
  <c r="J7" i="2"/>
  <c r="I7" i="2"/>
  <c r="G7" i="2"/>
  <c r="H7" i="2" s="1"/>
  <c r="L6" i="2"/>
  <c r="K6" i="2"/>
  <c r="J6" i="2"/>
  <c r="I6" i="2"/>
  <c r="G6" i="2"/>
  <c r="H6" i="2" s="1"/>
  <c r="P28" i="2" s="1"/>
  <c r="L5" i="2"/>
  <c r="K5" i="2"/>
  <c r="J5" i="2"/>
  <c r="I5" i="2"/>
  <c r="G5" i="2"/>
  <c r="H5" i="2" s="1"/>
  <c r="L4" i="2"/>
  <c r="K4" i="2"/>
  <c r="J4" i="2"/>
  <c r="I4" i="2"/>
  <c r="G4" i="2"/>
  <c r="H4" i="2" s="1"/>
  <c r="L3" i="2"/>
  <c r="K3" i="2"/>
  <c r="J3" i="2"/>
  <c r="I3" i="2"/>
  <c r="G3" i="2"/>
  <c r="H3" i="2" s="1"/>
  <c r="L2" i="2"/>
  <c r="K2" i="2"/>
  <c r="J2" i="2"/>
  <c r="I2" i="2"/>
  <c r="G2" i="2"/>
  <c r="L15" i="4" l="1"/>
  <c r="K15" i="4"/>
  <c r="J15" i="4"/>
  <c r="G15" i="4"/>
  <c r="K6" i="4"/>
  <c r="J6" i="4"/>
  <c r="G6" i="4"/>
  <c r="L5" i="4"/>
  <c r="K5" i="4"/>
  <c r="J5" i="4"/>
  <c r="G5" i="4"/>
  <c r="L4" i="4"/>
  <c r="K4" i="4"/>
  <c r="J4" i="4"/>
  <c r="G4" i="4"/>
  <c r="M21" i="3"/>
  <c r="N21" i="3"/>
  <c r="N20" i="3"/>
  <c r="M20" i="3"/>
  <c r="M19" i="3"/>
  <c r="N19" i="3"/>
  <c r="M18" i="3"/>
  <c r="N18" i="3"/>
  <c r="M17" i="3"/>
  <c r="N17" i="3"/>
  <c r="M16" i="3"/>
  <c r="N16" i="3"/>
  <c r="M15" i="3"/>
  <c r="N15" i="3"/>
  <c r="M14" i="3"/>
  <c r="N14" i="3"/>
  <c r="M13" i="3"/>
  <c r="N13" i="3"/>
  <c r="M12" i="3"/>
  <c r="N12" i="3"/>
  <c r="M11" i="3"/>
  <c r="N11" i="3"/>
  <c r="M10" i="3"/>
  <c r="N10" i="3"/>
  <c r="M9" i="3"/>
  <c r="N9" i="3"/>
  <c r="M8" i="3"/>
  <c r="N8" i="3"/>
  <c r="M7" i="3"/>
  <c r="N7" i="3"/>
  <c r="M6" i="3"/>
  <c r="N6" i="3"/>
  <c r="M5" i="3"/>
  <c r="N5" i="3"/>
  <c r="N4" i="3"/>
  <c r="M4" i="3"/>
  <c r="M3" i="3"/>
  <c r="N3" i="3"/>
  <c r="J2" i="3"/>
  <c r="Q52" i="3"/>
  <c r="Q39" i="2"/>
  <c r="P39" i="2"/>
  <c r="O39" i="2"/>
  <c r="O38" i="2"/>
  <c r="Q37" i="2"/>
  <c r="P37" i="2"/>
  <c r="Q36" i="2"/>
  <c r="O36" i="2"/>
  <c r="P35" i="2"/>
  <c r="P34" i="2"/>
  <c r="Q33" i="2"/>
  <c r="P32" i="2"/>
  <c r="P38" i="2"/>
  <c r="O37" i="2"/>
  <c r="P36" i="2"/>
  <c r="Q38" i="2"/>
  <c r="Q34" i="2"/>
  <c r="O34" i="2"/>
  <c r="O33" i="2"/>
  <c r="O32" i="2"/>
  <c r="P23" i="2"/>
  <c r="Q32" i="2"/>
  <c r="P33" i="2"/>
  <c r="O35" i="2"/>
  <c r="Q40" i="2"/>
  <c r="Q35" i="2"/>
  <c r="P40" i="2"/>
  <c r="O40" i="2"/>
  <c r="H13" i="2"/>
  <c r="Q41" i="2"/>
  <c r="O41" i="2"/>
  <c r="P41" i="2"/>
  <c r="H2" i="2"/>
  <c r="O22" i="4" l="1"/>
  <c r="O23" i="4"/>
  <c r="O24" i="4"/>
  <c r="M2" i="3"/>
  <c r="N2" i="3"/>
  <c r="Q53" i="3"/>
</calcChain>
</file>

<file path=xl/sharedStrings.xml><?xml version="1.0" encoding="utf-8"?>
<sst xmlns="http://schemas.openxmlformats.org/spreadsheetml/2006/main" count="321" uniqueCount="244">
  <si>
    <t>PR. 1 Fundamental Booster</t>
  </si>
  <si>
    <t>Topics: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
Main Tasks: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
Deliverable:
Complete the given worksheets by applying the required formulas in respective sheets.</t>
  </si>
  <si>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</si>
  <si>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</si>
  <si>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</si>
  <si>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</si>
  <si>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</si>
  <si>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</si>
  <si>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</si>
  <si>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</si>
  <si>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</si>
  <si>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</si>
  <si>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</si>
  <si>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</si>
  <si>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</si>
  <si>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</si>
  <si>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</si>
  <si>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</si>
  <si>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</si>
  <si>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</si>
  <si>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</si>
  <si>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</si>
  <si>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</si>
  <si>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</si>
  <si>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</si>
  <si>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</si>
  <si>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</si>
  <si>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</si>
  <si>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</si>
  <si>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</si>
  <si>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</si>
  <si>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</si>
  <si>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</si>
  <si>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</si>
  <si>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</si>
  <si>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</si>
  <si>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</si>
  <si>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</si>
  <si>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</si>
  <si>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</si>
  <si>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</si>
  <si>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</si>
  <si>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</si>
  <si>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</si>
  <si>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</si>
  <si>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</si>
  <si>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</si>
  <si>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Average</t>
  </si>
  <si>
    <t>Grade</t>
  </si>
  <si>
    <t>Math &amp; Science &gt; 80</t>
  </si>
  <si>
    <t>First Name</t>
  </si>
  <si>
    <t>Name (UPPER)</t>
  </si>
  <si>
    <t>Name (lower)</t>
  </si>
  <si>
    <t>GRADE SCALE (on Average score)</t>
  </si>
  <si>
    <t>Student 1</t>
  </si>
  <si>
    <t>Student 2</t>
  </si>
  <si>
    <t>Student 3</t>
  </si>
  <si>
    <t>Min Average</t>
  </si>
  <si>
    <t>Student 4</t>
  </si>
  <si>
    <t>A+</t>
  </si>
  <si>
    <t>Student 5</t>
  </si>
  <si>
    <t>A</t>
  </si>
  <si>
    <t>Student 6</t>
  </si>
  <si>
    <t>B</t>
  </si>
  <si>
    <t>Student 7</t>
  </si>
  <si>
    <t>C</t>
  </si>
  <si>
    <t>Student 8</t>
  </si>
  <si>
    <t>D</t>
  </si>
  <si>
    <t>Student 9</t>
  </si>
  <si>
    <t>F</t>
  </si>
  <si>
    <t>Student 10</t>
  </si>
  <si>
    <t>Student 11</t>
  </si>
  <si>
    <t>PARAMETERS</t>
  </si>
  <si>
    <t>Student 12</t>
  </si>
  <si>
    <t>Math cut-off (above) – count</t>
  </si>
  <si>
    <t>Student 13</t>
  </si>
  <si>
    <t>Distinction mark (above) – AND test / top performers</t>
  </si>
  <si>
    <t>Student 14</t>
  </si>
  <si>
    <t>Math cut-off (above) – count &amp; average</t>
  </si>
  <si>
    <t>Student 15</t>
  </si>
  <si>
    <t>Student 16</t>
  </si>
  <si>
    <t>ANALYSIS (COUNTIFS / AVERAGEIFS)</t>
  </si>
  <si>
    <t>Student 17</t>
  </si>
  <si>
    <t>Total students</t>
  </si>
  <si>
    <t>Student 18</t>
  </si>
  <si>
    <t>Students with Math above cut-off (50)</t>
  </si>
  <si>
    <t>Student 19</t>
  </si>
  <si>
    <t>Students with Math above 60</t>
  </si>
  <si>
    <t>Student 20</t>
  </si>
  <si>
    <t>Average Math score of students above 60</t>
  </si>
  <si>
    <t>Students above 80 in both Math &amp; Science</t>
  </si>
  <si>
    <t>Students with Average above 80</t>
  </si>
  <si>
    <t>STUDENT LOOKUP (VLOOKUP)</t>
  </si>
  <si>
    <t>Student ID (enter)</t>
  </si>
  <si>
    <t>TOP PERFORMERS – Average above 80 (FILTER)</t>
  </si>
  <si>
    <t>Student</t>
  </si>
  <si>
    <t>Sales ID</t>
  </si>
  <si>
    <t>Product</t>
  </si>
  <si>
    <t>Region</t>
  </si>
  <si>
    <t>Salesperson</t>
  </si>
  <si>
    <t>Amount</t>
  </si>
  <si>
    <t>Date</t>
  </si>
  <si>
    <t>Discount Eligible</t>
  </si>
  <si>
    <t>Discount %</t>
  </si>
  <si>
    <t>Discount Amount</t>
  </si>
  <si>
    <t>Net Amount</t>
  </si>
  <si>
    <t>Month</t>
  </si>
  <si>
    <t>Lookup Key</t>
  </si>
  <si>
    <t>Net – Round Up</t>
  </si>
  <si>
    <t>Net – Round Down</t>
  </si>
  <si>
    <t>DISCOUNT RULES (nested IF)</t>
  </si>
  <si>
    <t>Keyboard</t>
  </si>
  <si>
    <t>South</t>
  </si>
  <si>
    <t>Person 1</t>
  </si>
  <si>
    <t>Printer</t>
  </si>
  <si>
    <t>West</t>
  </si>
  <si>
    <t>Person 2</t>
  </si>
  <si>
    <t>Tier</t>
  </si>
  <si>
    <t>Min Amount</t>
  </si>
  <si>
    <t>Mouse</t>
  </si>
  <si>
    <t>Person 3</t>
  </si>
  <si>
    <t>Tier 1 (base, eligible sales)</t>
  </si>
  <si>
    <t>East</t>
  </si>
  <si>
    <t>Person 4</t>
  </si>
  <si>
    <t>Tier 2</t>
  </si>
  <si>
    <t>North</t>
  </si>
  <si>
    <t>Person 5</t>
  </si>
  <si>
    <t>Tier 3</t>
  </si>
  <si>
    <t>Person 6</t>
  </si>
  <si>
    <t>Person 7</t>
  </si>
  <si>
    <t>ELIGIBILITY &amp; ROUNDING</t>
  </si>
  <si>
    <t>Person 8</t>
  </si>
  <si>
    <t>Person 9</t>
  </si>
  <si>
    <t>Minimum amount to qualify</t>
  </si>
  <si>
    <t>Person 10</t>
  </si>
  <si>
    <t>Promo product (always eligible)</t>
  </si>
  <si>
    <t>Laptop</t>
  </si>
  <si>
    <t>Person 11</t>
  </si>
  <si>
    <t>Rounding unit (CEILING / FLOOR)</t>
  </si>
  <si>
    <t>Monitor</t>
  </si>
  <si>
    <t>Person 12</t>
  </si>
  <si>
    <t>Person 13</t>
  </si>
  <si>
    <t>PRODUCT PRICE LIST (assumed – replace with real prices)</t>
  </si>
  <si>
    <t>Person 14</t>
  </si>
  <si>
    <t>Product Code</t>
  </si>
  <si>
    <t>Unit Price</t>
  </si>
  <si>
    <t>Person 15</t>
  </si>
  <si>
    <t>KB-101</t>
  </si>
  <si>
    <t>Person 16</t>
  </si>
  <si>
    <t>MS-102</t>
  </si>
  <si>
    <t>Person 17</t>
  </si>
  <si>
    <t>MN-103</t>
  </si>
  <si>
    <t>Person 18</t>
  </si>
  <si>
    <t>PR-104</t>
  </si>
  <si>
    <t>Person 19</t>
  </si>
  <si>
    <t>LP-105</t>
  </si>
  <si>
    <t>Person 20</t>
  </si>
  <si>
    <t>LOOKUPS &amp; AGGREGATIONS</t>
  </si>
  <si>
    <t>Product Code (enter)</t>
  </si>
  <si>
    <t>Product  – VLOOKUP</t>
  </si>
  <si>
    <t>Unit Price – VLOOKUP</t>
  </si>
  <si>
    <t>Region (enter)</t>
  </si>
  <si>
    <t>Product (enter)</t>
  </si>
  <si>
    <t>Total Sales – SUMIFS</t>
  </si>
  <si>
    <t>Salesperson (enter)</t>
  </si>
  <si>
    <t>Month, mmm-yyyy (enter)</t>
  </si>
  <si>
    <t>Mar-2023</t>
  </si>
  <si>
    <t>Sales Value – INDEX/MATCH</t>
  </si>
  <si>
    <t>Product – XLOOKUP</t>
  </si>
  <si>
    <t>Region – XLOOKUP</t>
  </si>
  <si>
    <t>Amount – XLOOKUP</t>
  </si>
  <si>
    <t>Product to find (enter)</t>
  </si>
  <si>
    <t>Position in list – XMATCH</t>
  </si>
  <si>
    <t>First N sales (enter)</t>
  </si>
  <si>
    <t>Sum of first N – INDIRECT</t>
  </si>
  <si>
    <t>Last N sales (enter)</t>
  </si>
  <si>
    <t>Average of last N – OFFSET</t>
  </si>
  <si>
    <t>Total of last N – OFFSET</t>
  </si>
  <si>
    <t>TOTALS</t>
  </si>
  <si>
    <t>Total sales amount</t>
  </si>
  <si>
    <t>Total discount given</t>
  </si>
  <si>
    <t>Total net sales</t>
  </si>
  <si>
    <t>Employee ID</t>
  </si>
  <si>
    <t>Department</t>
  </si>
  <si>
    <t>Salary</t>
  </si>
  <si>
    <t>Joining Date</t>
  </si>
  <si>
    <t>Date of Birth</t>
  </si>
  <si>
    <t>Age (Yrs)</t>
  </si>
  <si>
    <t>Joining Year</t>
  </si>
  <si>
    <t>Joining Month</t>
  </si>
  <si>
    <t>Status</t>
  </si>
  <si>
    <t>Tenure (Yrs)</t>
  </si>
  <si>
    <t>Days Since Joining</t>
  </si>
  <si>
    <t>DATE SETTINGS</t>
  </si>
  <si>
    <t>Employee 1</t>
  </si>
  <si>
    <t>Finance</t>
  </si>
  <si>
    <t>Employee 2</t>
  </si>
  <si>
    <t>As-of date (today)</t>
  </si>
  <si>
    <t>Employee 3</t>
  </si>
  <si>
    <t>HR</t>
  </si>
  <si>
    <t>Employee 4</t>
  </si>
  <si>
    <t>XLOOKUP – SALARY BY EMPLOYEE ID</t>
  </si>
  <si>
    <t>Employee 5</t>
  </si>
  <si>
    <t>IT</t>
  </si>
  <si>
    <t>Employee ID (enter)</t>
  </si>
  <si>
    <t>Employee 6</t>
  </si>
  <si>
    <t>Name – XLOOKUP</t>
  </si>
  <si>
    <t>Employee 7</t>
  </si>
  <si>
    <t>Marketing</t>
  </si>
  <si>
    <t>Department – XLOOKUP</t>
  </si>
  <si>
    <t>Employee 8</t>
  </si>
  <si>
    <t>Salary – XLOOKUP</t>
  </si>
  <si>
    <t>Employee 9</t>
  </si>
  <si>
    <t>Joining Date – XLOOKUP</t>
  </si>
  <si>
    <t>Employee 10</t>
  </si>
  <si>
    <t>Employee 11</t>
  </si>
  <si>
    <t>XLOOKUP – SALARY BY NAME</t>
  </si>
  <si>
    <t>Employee 12</t>
  </si>
  <si>
    <t>Employee Name (enter)</t>
  </si>
  <si>
    <t>Employee 13</t>
  </si>
  <si>
    <t>Employee 14</t>
  </si>
  <si>
    <t>Employee 15</t>
  </si>
  <si>
    <t>DYNAMIC DETAIL SEARCH (INDEX/MATCH, any field)</t>
  </si>
  <si>
    <t>Employee 16</t>
  </si>
  <si>
    <t>Employee 17</t>
  </si>
  <si>
    <t>Field (choose)</t>
  </si>
  <si>
    <t>Employee 18</t>
  </si>
  <si>
    <t>Result</t>
  </si>
  <si>
    <t>Employee 19</t>
  </si>
  <si>
    <t>Employee 20</t>
  </si>
  <si>
    <t>AGE &amp; DATE ANALYSIS</t>
  </si>
  <si>
    <t>Youngest employee (age)</t>
  </si>
  <si>
    <t>Oldest employee (age)</t>
  </si>
  <si>
    <t>Average age</t>
  </si>
  <si>
    <t>First joining date</t>
  </si>
  <si>
    <t>Latest joining date</t>
  </si>
  <si>
    <t>Days between first &amp; latest joining</t>
  </si>
  <si>
    <t>Employees active as of today</t>
  </si>
  <si>
    <t>Upcoming joiners (future dates)</t>
  </si>
  <si>
    <t>DEPARTMENT SUMMARY</t>
  </si>
  <si>
    <t>Headcount</t>
  </si>
  <si>
    <t>Avg Salary</t>
  </si>
  <si>
    <t>Total Salary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</si>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</sst>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70" formatCode="[$-F800]dddd\,\ mmmm\ dd\,\ yyyy"/>
  </numFmts>
  <fonts count="8" x14ac:knownFonts="1">
    <font>
      <sz val="11"/>
      <color theme="1"/>
      <name val="Calibri"/>
      <scheme val="minor"/>
    </font>
    <font>
      <b/>
      <sz val="11"/>
      <color theme="1"/>
      <name val="Calibri"/>
      <scheme val="minor"/>
    </font>
    <font>
      <sz val="11"/>
      <color theme="1"/>
      <name val="Calibri"/>
      <scheme val="minor"/>
    </font>
    <font>
      <sz val="11"/>
      <color rgb="FF000000"/>
      <name val="Calibri"/>
    </font>
    <font>
      <b/>
      <sz val="10"/>
      <color rgb="FFFFFFFF"/>
      <name val="Arial"/>
    </font>
    <font>
      <sz val="10"/>
      <name val="Arial"/>
    </font>
    <font>
      <sz val="10"/>
      <color rgb="FF0000FF"/>
      <name val="Arial"/>
    </font>
    <font>
      <b/>
      <sz val="10"/>
      <name val="Arial"/>
    </font>
  </fonts>
  <fills count="7">
    <fill>
      <patternFill patternType="none"/>
    </fill>
    <fill>
      <patternFill patternType="gray125"/>
    </fill>
    <fill>
      <patternFill patternType="solid">
        <fgColor rgb="FFFFF2CC"/>
        <bgColor rgb="FFFFF2CC"/>
      </patternFill>
    </fill>
    <fill>
      <patternFill patternType="solid">
        <fgColor rgb="FF1F3864"/>
      </patternFill>
    </fill>
    <fill>
      <patternFill patternType="solid">
        <fgColor rgb="FF2F5597"/>
      </patternFill>
    </fill>
    <fill>
      <patternFill patternType="solid">
        <fgColor rgb="FFF2F2F2"/>
      </patternFill>
    </fill>
    <fill>
      <patternFill patternType="solid">
        <fgColor rgb="FFFFF2C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3" fillId="0" borderId="1" xfId="0" applyFont="1"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3" borderId="2" xfId="0" applyFont="1" applyFill="1" applyBorder="1" applyAlignment="1">
      <alignment vertical="center"/>
    </xf>
    <xf numFmtId="0" fontId="2" fillId="3" borderId="2" xfId="0" applyFont="1" applyFill="1" applyBorder="1" applyAlignment="1">
      <alignment horizontal="center" vertical="center"/>
    </xf>
    <xf numFmtId="1" fontId="5" fillId="0" borderId="2" xfId="0" applyNumberFormat="1" applyFont="1" applyBorder="1" applyAlignment="1">
      <alignment horizontal="center"/>
    </xf>
    <xf numFmtId="0" fontId="5" fillId="0" borderId="2" xfId="0" applyFont="1" applyBorder="1" applyAlignment="1">
      <alignment horizontal="center" vertical="center"/>
    </xf>
    <xf numFmtId="166" fontId="5" fillId="5" borderId="2" xfId="0" applyNumberFormat="1" applyFont="1" applyFill="1" applyBorder="1" applyAlignment="1">
      <alignment horizontal="center" vertical="center"/>
    </xf>
    <xf numFmtId="0" fontId="5" fillId="5" borderId="2" xfId="0" applyFont="1" applyFill="1" applyBorder="1" applyAlignment="1">
      <alignment horizontal="center" vertical="center"/>
    </xf>
    <xf numFmtId="0" fontId="5" fillId="5" borderId="2" xfId="0" applyFont="1" applyFill="1" applyBorder="1" applyAlignment="1">
      <alignment horizontal="left" vertical="center"/>
    </xf>
    <xf numFmtId="0" fontId="4" fillId="0" borderId="0" xfId="0" applyFont="1" applyAlignment="1">
      <alignment horizontal="center" vertical="center" wrapText="1"/>
    </xf>
    <xf numFmtId="0" fontId="6" fillId="6" borderId="2" xfId="0" applyFont="1" applyFill="1" applyBorder="1" applyAlignment="1">
      <alignment horizontal="center"/>
    </xf>
    <xf numFmtId="1" fontId="6" fillId="6" borderId="2" xfId="0" applyNumberFormat="1" applyFont="1" applyFill="1" applyBorder="1" applyAlignment="1">
      <alignment horizontal="right"/>
    </xf>
    <xf numFmtId="0" fontId="4" fillId="3" borderId="2" xfId="0" applyFont="1" applyFill="1" applyBorder="1" applyAlignment="1">
      <alignment horizontal="left" vertical="center"/>
    </xf>
    <xf numFmtId="0" fontId="5" fillId="0" borderId="2" xfId="0" applyFont="1" applyBorder="1" applyAlignment="1">
      <alignment horizontal="left" vertical="center"/>
    </xf>
    <xf numFmtId="1" fontId="7" fillId="5" borderId="2" xfId="0" applyNumberFormat="1" applyFont="1" applyFill="1" applyBorder="1" applyAlignment="1">
      <alignment horizontal="right" vertical="center"/>
    </xf>
    <xf numFmtId="166" fontId="7" fillId="5" borderId="2" xfId="0" applyNumberFormat="1" applyFont="1" applyFill="1" applyBorder="1" applyAlignment="1">
      <alignment horizontal="right" vertical="center"/>
    </xf>
    <xf numFmtId="0" fontId="7" fillId="5" borderId="2" xfId="0" applyFont="1" applyFill="1" applyBorder="1" applyAlignment="1">
      <alignment horizontal="right" vertical="center"/>
    </xf>
    <xf numFmtId="1" fontId="5" fillId="5" borderId="2" xfId="0" applyNumberFormat="1" applyFont="1" applyFill="1" applyBorder="1" applyAlignment="1">
      <alignment horizontal="center" vertical="center"/>
    </xf>
    <xf numFmtId="3" fontId="5" fillId="0" borderId="2" xfId="0" applyNumberFormat="1" applyFont="1" applyBorder="1" applyAlignment="1">
      <alignment horizontal="center" vertical="center"/>
    </xf>
    <xf numFmtId="9" fontId="5" fillId="5" borderId="2" xfId="0" applyNumberFormat="1" applyFont="1" applyFill="1" applyBorder="1" applyAlignment="1">
      <alignment horizontal="center" vertical="center"/>
    </xf>
    <xf numFmtId="4" fontId="5" fillId="5" borderId="2" xfId="0" applyNumberFormat="1" applyFont="1" applyFill="1" applyBorder="1" applyAlignment="1">
      <alignment horizontal="right" vertical="center"/>
    </xf>
    <xf numFmtId="3" fontId="5" fillId="5" borderId="2" xfId="0" applyNumberFormat="1" applyFont="1" applyFill="1" applyBorder="1" applyAlignment="1">
      <alignment horizontal="right" vertical="center"/>
    </xf>
    <xf numFmtId="3" fontId="6" fillId="6" borderId="2" xfId="0" applyNumberFormat="1" applyFont="1" applyFill="1" applyBorder="1" applyAlignment="1">
      <alignment horizontal="right"/>
    </xf>
    <xf numFmtId="9" fontId="6" fillId="6" borderId="2" xfId="0" applyNumberFormat="1" applyFont="1" applyFill="1" applyBorder="1" applyAlignment="1">
      <alignment horizontal="right"/>
    </xf>
    <xf numFmtId="0" fontId="6" fillId="6" borderId="2" xfId="0" applyFont="1" applyFill="1" applyBorder="1" applyAlignment="1">
      <alignment horizontal="right"/>
    </xf>
    <xf numFmtId="0" fontId="6" fillId="6" borderId="2" xfId="0" applyFont="1" applyFill="1" applyBorder="1" applyAlignment="1">
      <alignment horizontal="left"/>
    </xf>
    <xf numFmtId="3" fontId="7" fillId="5" borderId="2" xfId="0" applyNumberFormat="1" applyFont="1" applyFill="1" applyBorder="1" applyAlignment="1">
      <alignment horizontal="right" vertical="center"/>
    </xf>
    <xf numFmtId="49" fontId="6" fillId="6" borderId="2" xfId="0" applyNumberFormat="1" applyFont="1" applyFill="1" applyBorder="1" applyAlignment="1">
      <alignment horizontal="right"/>
    </xf>
    <xf numFmtId="4" fontId="7" fillId="5" borderId="2" xfId="0" applyNumberFormat="1" applyFont="1" applyFill="1" applyBorder="1" applyAlignment="1">
      <alignment horizontal="right" vertical="center"/>
    </xf>
    <xf numFmtId="3" fontId="5" fillId="5" borderId="2" xfId="0" applyNumberFormat="1" applyFont="1" applyFill="1" applyBorder="1" applyAlignment="1">
      <alignment horizontal="center" vertical="center"/>
    </xf>
    <xf numFmtId="0" fontId="7" fillId="0" borderId="2" xfId="0" applyFont="1" applyBorder="1" applyAlignment="1">
      <alignment horizontal="left" vertical="center"/>
    </xf>
    <xf numFmtId="1" fontId="7" fillId="5" borderId="2" xfId="0" applyNumberFormat="1" applyFont="1" applyFill="1" applyBorder="1" applyAlignment="1">
      <alignment horizontal="center" vertical="center"/>
    </xf>
    <xf numFmtId="14" fontId="5" fillId="0" borderId="2" xfId="0" applyNumberFormat="1" applyFont="1" applyBorder="1" applyAlignment="1">
      <alignment horizontal="center"/>
    </xf>
    <xf numFmtId="14" fontId="6" fillId="0" borderId="2" xfId="0" applyNumberFormat="1" applyFont="1" applyBorder="1" applyAlignment="1">
      <alignment horizontal="center"/>
    </xf>
    <xf numFmtId="170" fontId="7" fillId="5" borderId="2" xfId="0" applyNumberFormat="1" applyFont="1" applyFill="1" applyBorder="1" applyAlignment="1">
      <alignment horizontal="right" vertical="center"/>
    </xf>
  </cellXfs>
  <cellStyles count="1">
    <cellStyle name="Normal" xfId="0" builtinId="0"/>
  </cellStyles>
  <dxfs count="3">
    <dxf>
      <font>
        <sz val="10"/>
        <color rgb="FF9C5700"/>
        <name val="Arial"/>
      </font>
      <fill>
        <patternFill patternType="solid">
          <fgColor rgb="FFFFEB9C"/>
        </patternFill>
      </fill>
    </dxf>
    <dxf>
      <font>
        <sz val="10"/>
        <color rgb="FF006100"/>
        <name val="Arial"/>
      </font>
      <fill>
        <patternFill patternType="solid">
          <fgColor rgb="FFC6EFCE"/>
        </patternFill>
      </fill>
    </dxf>
    <dxf>
      <font>
        <sz val="10"/>
        <color rgb="FF006100"/>
        <name val="Arial"/>
      </font>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workbookViewId="0"/>
  </sheetViews>
  <sheetFormatPr defaultColWidth="14.44140625" defaultRowHeight="15" customHeight="1" x14ac:dyDescent="0.3"/>
  <cols>
    <col min="1" max="1" width="75.44140625" customWidth="1"/>
  </cols>
  <sheetData>
    <row r="1" spans="1:26"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x14ac:dyDescent="0.3">
      <c r="A2" s="4" t="s">
        <v>1</v>
      </c>
      <c r="B2" s="2"/>
      <c r="C2" s="2"/>
      <c r="D2" s="2"/>
      <c r="E2" s="2"/>
      <c r="F2" s="2"/>
      <c r="G2" s="2"/>
      <c r="H2" s="2"/>
      <c r="I2" s="2"/>
      <c r="J2" s="2"/>
      <c r="K2" s="2"/>
      <c r="L2" s="2"/>
      <c r="M2" s="2"/>
      <c r="N2" s="2"/>
      <c r="O2" s="2"/>
      <c r="P2" s="2"/>
      <c r="Q2" s="2"/>
      <c r="R2" s="2"/>
      <c r="S2" s="2"/>
      <c r="T2" s="2"/>
      <c r="U2" s="2"/>
      <c r="V2" s="2"/>
      <c r="W2" s="2"/>
      <c r="X2" s="2"/>
      <c r="Y2" s="2"/>
      <c r="Z2" s="2"/>
    </row>
    <row r="3" spans="1:26" x14ac:dyDescent="0.3">
      <c r="A3" s="2"/>
      <c r="B3" s="2"/>
      <c r="C3" s="2"/>
      <c r="D3" s="2"/>
      <c r="E3" s="2"/>
      <c r="F3" s="2"/>
      <c r="G3" s="2"/>
      <c r="H3" s="2"/>
      <c r="I3" s="2"/>
      <c r="J3" s="2"/>
      <c r="K3" s="2"/>
      <c r="L3" s="2"/>
      <c r="M3" s="2"/>
      <c r="N3" s="2"/>
      <c r="O3" s="2"/>
      <c r="P3" s="2"/>
      <c r="Q3" s="2"/>
      <c r="R3" s="2"/>
      <c r="S3" s="2"/>
      <c r="T3" s="2"/>
      <c r="U3" s="2"/>
      <c r="V3" s="2"/>
      <c r="W3" s="2"/>
      <c r="X3" s="2"/>
      <c r="Y3" s="2"/>
      <c r="Z3" s="2"/>
    </row>
    <row r="4" spans="1:26" x14ac:dyDescent="0.3">
      <c r="A4" s="2"/>
      <c r="B4" s="2"/>
      <c r="C4" s="2"/>
      <c r="D4" s="2"/>
      <c r="E4" s="2"/>
      <c r="F4" s="2"/>
      <c r="G4" s="2"/>
      <c r="H4" s="2"/>
      <c r="I4" s="2"/>
      <c r="J4" s="2"/>
      <c r="K4" s="2"/>
      <c r="L4" s="2"/>
      <c r="M4" s="2"/>
      <c r="N4" s="2"/>
      <c r="O4" s="2"/>
      <c r="P4" s="2"/>
      <c r="Q4" s="2"/>
      <c r="R4" s="2"/>
      <c r="S4" s="2"/>
      <c r="T4" s="2"/>
      <c r="U4" s="2"/>
      <c r="V4" s="2"/>
      <c r="W4" s="2"/>
      <c r="X4" s="2"/>
      <c r="Y4" s="2"/>
      <c r="Z4" s="2"/>
    </row>
    <row r="5" spans="1:26" x14ac:dyDescent="0.3">
      <c r="A5" s="1" t="s">
        <v>2</v>
      </c>
      <c r="B5" s="2"/>
      <c r="C5" s="2"/>
      <c r="D5" s="2"/>
      <c r="E5" s="2"/>
      <c r="F5" s="2"/>
      <c r="G5" s="2"/>
      <c r="H5" s="2"/>
      <c r="I5" s="2"/>
      <c r="J5" s="2"/>
      <c r="K5" s="2"/>
      <c r="L5" s="2"/>
      <c r="M5" s="2"/>
      <c r="N5" s="2"/>
      <c r="O5" s="2"/>
      <c r="P5" s="2"/>
      <c r="Q5" s="2"/>
      <c r="R5" s="2"/>
      <c r="S5" s="2"/>
      <c r="T5" s="2"/>
      <c r="U5" s="2"/>
      <c r="V5" s="2"/>
      <c r="W5" s="2"/>
      <c r="X5" s="2"/>
      <c r="Y5" s="2"/>
      <c r="Z5" s="2"/>
    </row>
    <row r="6" spans="1:26" x14ac:dyDescent="0.3">
      <c r="A6" s="5" t="s">
        <v>3</v>
      </c>
      <c r="B6" s="2"/>
      <c r="C6" s="2"/>
      <c r="D6" s="2"/>
      <c r="E6" s="2"/>
      <c r="F6" s="2"/>
      <c r="G6" s="2"/>
      <c r="H6" s="2"/>
      <c r="I6" s="2"/>
      <c r="J6" s="2"/>
      <c r="K6" s="2"/>
      <c r="L6" s="2"/>
      <c r="M6" s="2"/>
      <c r="N6" s="2"/>
      <c r="O6" s="2"/>
      <c r="P6" s="2"/>
      <c r="Q6" s="2"/>
      <c r="R6" s="2"/>
      <c r="S6" s="2"/>
      <c r="T6" s="2"/>
      <c r="U6" s="2"/>
      <c r="V6" s="2"/>
      <c r="W6" s="2"/>
      <c r="X6" s="2"/>
      <c r="Y6" s="2"/>
      <c r="Z6" s="2"/>
    </row>
    <row r="7" spans="1:26" x14ac:dyDescent="0.3">
      <c r="A7" s="6" t="s">
        <v>4</v>
      </c>
      <c r="B7" s="2"/>
      <c r="C7" s="2"/>
      <c r="D7" s="2"/>
      <c r="E7" s="2"/>
      <c r="F7" s="2"/>
      <c r="G7" s="2"/>
      <c r="H7" s="2"/>
      <c r="I7" s="2"/>
      <c r="J7" s="2"/>
      <c r="K7" s="2"/>
      <c r="L7" s="2"/>
      <c r="M7" s="2"/>
      <c r="N7" s="2"/>
      <c r="O7" s="2"/>
      <c r="P7" s="2"/>
      <c r="Q7" s="2"/>
      <c r="R7" s="2"/>
      <c r="S7" s="2"/>
      <c r="T7" s="2"/>
      <c r="U7" s="2"/>
      <c r="V7" s="2"/>
      <c r="W7" s="2"/>
      <c r="X7" s="2"/>
      <c r="Y7" s="2"/>
      <c r="Z7" s="2"/>
    </row>
    <row r="8" spans="1:26" x14ac:dyDescent="0.3">
      <c r="A8" s="6" t="s">
        <v>5</v>
      </c>
      <c r="B8" s="2"/>
      <c r="C8" s="2"/>
      <c r="D8" s="2"/>
      <c r="E8" s="2"/>
      <c r="F8" s="2"/>
      <c r="G8" s="2"/>
      <c r="H8" s="2"/>
      <c r="I8" s="2"/>
      <c r="J8" s="2"/>
      <c r="K8" s="2"/>
      <c r="L8" s="2"/>
      <c r="M8" s="2"/>
      <c r="N8" s="2"/>
      <c r="O8" s="2"/>
      <c r="P8" s="2"/>
      <c r="Q8" s="2"/>
      <c r="R8" s="2"/>
      <c r="S8" s="2"/>
      <c r="T8" s="2"/>
      <c r="U8" s="2"/>
      <c r="V8" s="2"/>
      <c r="W8" s="2"/>
      <c r="X8" s="2"/>
      <c r="Y8" s="2"/>
      <c r="Z8" s="2"/>
    </row>
    <row r="9" spans="1:26" x14ac:dyDescent="0.3">
      <c r="A9" s="6"/>
      <c r="B9" s="2"/>
      <c r="C9" s="2"/>
      <c r="D9" s="2"/>
      <c r="E9" s="2"/>
      <c r="F9" s="2"/>
      <c r="G9" s="2"/>
      <c r="H9" s="2"/>
      <c r="I9" s="2"/>
      <c r="J9" s="2"/>
      <c r="K9" s="2"/>
      <c r="L9" s="2"/>
      <c r="M9" s="2"/>
      <c r="N9" s="2"/>
      <c r="O9" s="2"/>
      <c r="P9" s="2"/>
      <c r="Q9" s="2"/>
      <c r="R9" s="2"/>
      <c r="S9" s="2"/>
      <c r="T9" s="2"/>
      <c r="U9" s="2"/>
      <c r="V9" s="2"/>
      <c r="W9" s="2"/>
      <c r="X9" s="2"/>
      <c r="Y9" s="2"/>
      <c r="Z9" s="2"/>
    </row>
    <row r="10" spans="1:26" x14ac:dyDescent="0.3">
      <c r="A10" s="5"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3">
      <c r="A11" s="6"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3">
      <c r="A12" s="6"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
      <c r="A13" s="6"/>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3">
      <c r="A14" s="5"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3">
      <c r="A15" s="6"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3">
      <c r="A16" s="6"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3">
      <c r="A17" s="6"/>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3">
      <c r="A18" s="5"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3">
      <c r="A19" s="6"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
      <c r="A20" s="6"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3">
      <c r="A21" s="6"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
      <c r="A22" s="6"/>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
      <c r="A23" s="5"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
      <c r="A24" s="6"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
      <c r="A25" s="6"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
      <c r="A26" s="6"/>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3">
      <c r="A27" s="5"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
      <c r="A28" s="6"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
      <c r="A29" s="6"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
      <c r="A30" s="6"/>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5"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
      <c r="A32" s="6"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6"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6"/>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
      <c r="A35" s="5"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
      <c r="A36" s="6"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
      <c r="A37" s="6"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
      <c r="A38" s="6"/>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
      <c r="A39" s="5"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
      <c r="A40" s="6"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
      <c r="A41" s="6"/>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
      <c r="A42" s="5"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
      <c r="A43" s="6"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
      <c r="A44" s="6"/>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
      <c r="A45" s="5"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
      <c r="A46" s="6"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
      <c r="A47" s="6"/>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
      <c r="A48" s="5"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
      <c r="A49" s="6"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
      <c r="A50" s="6"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
      <c r="A51" s="6"/>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
      <c r="A52" s="5"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
      <c r="A53" s="6"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
      <c r="A54" s="6"/>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
      <c r="A55" s="5"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
      <c r="A56" s="6"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597"/>
    <pageSetUpPr fitToPage="1"/>
  </sheetPr>
  <dimension ref="A1:Z1000"/>
  <sheetViews>
    <sheetView tabSelected="1" workbookViewId="0">
      <pane xSplit="1" ySplit="1" topLeftCell="L2" activePane="bottomRight" state="frozen"/>
      <selection pane="topRight"/>
      <selection pane="bottomLeft"/>
      <selection pane="bottomRight" activeCell="F2" sqref="F2:F21"/>
    </sheetView>
  </sheetViews>
  <sheetFormatPr defaultColWidth="14.44140625" defaultRowHeight="15" customHeight="1" x14ac:dyDescent="0.3"/>
  <cols>
    <col min="1" max="1" width="11" customWidth="1"/>
    <col min="2" max="2" width="14" customWidth="1"/>
    <col min="3" max="3" width="8" customWidth="1"/>
    <col min="4" max="5" width="9" customWidth="1"/>
    <col min="6" max="6" width="15" customWidth="1"/>
    <col min="7" max="7" width="10" customWidth="1"/>
    <col min="8" max="8" width="9" customWidth="1"/>
    <col min="9" max="9" width="16" customWidth="1"/>
    <col min="10" max="10" width="12" customWidth="1"/>
    <col min="11" max="12" width="14" customWidth="1"/>
    <col min="13" max="13" width="12" customWidth="1"/>
    <col min="14" max="14" width="3" customWidth="1"/>
    <col min="15" max="15" width="44" customWidth="1"/>
    <col min="16" max="16" width="14" customWidth="1"/>
    <col min="17" max="17" width="12" customWidth="1"/>
    <col min="18" max="18" width="3" customWidth="1"/>
    <col min="19" max="26" width="10" customWidth="1"/>
  </cols>
  <sheetData>
    <row r="1" spans="1:26" ht="31.95" customHeight="1" x14ac:dyDescent="0.3">
      <c r="A1" s="7" t="s">
        <v>41</v>
      </c>
      <c r="B1" s="7" t="s">
        <v>42</v>
      </c>
      <c r="C1" s="7" t="s">
        <v>43</v>
      </c>
      <c r="D1" s="7" t="s">
        <v>44</v>
      </c>
      <c r="E1" s="7" t="s">
        <v>45</v>
      </c>
      <c r="F1" s="7" t="s">
        <v>46</v>
      </c>
      <c r="G1" s="8" t="s">
        <v>47</v>
      </c>
      <c r="H1" s="8" t="s">
        <v>48</v>
      </c>
      <c r="I1" s="8" t="s">
        <v>49</v>
      </c>
      <c r="J1" s="8" t="s">
        <v>50</v>
      </c>
      <c r="K1" s="8" t="s">
        <v>51</v>
      </c>
      <c r="L1" s="8" t="s">
        <v>52</v>
      </c>
      <c r="M1" s="3"/>
      <c r="N1" s="3"/>
      <c r="O1" s="9" t="s">
        <v>53</v>
      </c>
      <c r="P1" s="10"/>
      <c r="Q1" s="10"/>
      <c r="R1" s="3"/>
      <c r="S1" s="3"/>
      <c r="T1" s="3"/>
      <c r="U1" s="3"/>
      <c r="V1" s="3"/>
      <c r="W1" s="3"/>
      <c r="X1" s="3"/>
      <c r="Y1" s="3"/>
      <c r="Z1" s="3"/>
    </row>
    <row r="2" spans="1:26" ht="14.4" x14ac:dyDescent="0.3">
      <c r="A2" s="11">
        <v>1001</v>
      </c>
      <c r="B2" s="12" t="s">
        <v>54</v>
      </c>
      <c r="C2" s="11">
        <v>61</v>
      </c>
      <c r="D2" s="11">
        <v>48</v>
      </c>
      <c r="E2" s="11">
        <v>76</v>
      </c>
      <c r="F2" s="39">
        <v>43101</v>
      </c>
      <c r="G2" s="13">
        <f t="shared" ref="G2:G21" si="0">ROUND(AVERAGE(C2:E2),1)</f>
        <v>61.7</v>
      </c>
      <c r="H2" s="14" t="str">
        <f t="shared" ref="H2:H21" si="1">IF(G2&gt;=$P$5,$O$5,IF(G2&gt;=$P$6,$O$6,IF(G2&gt;=$P$7,$O$7,IF(G2&gt;=$P$8,$O$8,IF(G2&gt;=$P$9,$O$9,$O$10)))))</f>
        <v>C</v>
      </c>
      <c r="I2" s="14" t="str">
        <f t="shared" ref="I2:I21" si="2">IF(AND(C2&gt;$P$14,D2&gt;$P$14),"Yes","No")</f>
        <v>No</v>
      </c>
      <c r="J2" s="15" t="str">
        <f t="shared" ref="J2:J21" si="3">IFERROR(LEFT(B2,FIND(" ",B2)-1),B2)</f>
        <v>Student</v>
      </c>
      <c r="K2" s="15" t="str">
        <f t="shared" ref="K2:K21" si="4">UPPER(B2)</f>
        <v>STUDENT 1</v>
      </c>
      <c r="L2" s="15" t="str">
        <f t="shared" ref="L2:L21" si="5">LOWER(B2)</f>
        <v>student 1</v>
      </c>
      <c r="M2" s="3"/>
      <c r="N2" s="3"/>
      <c r="O2" s="3"/>
      <c r="P2" s="3"/>
      <c r="Q2" s="3"/>
      <c r="R2" s="3"/>
      <c r="S2" s="3"/>
      <c r="T2" s="3"/>
      <c r="U2" s="3"/>
      <c r="V2" s="3"/>
      <c r="W2" s="3"/>
      <c r="X2" s="3"/>
      <c r="Y2" s="3"/>
      <c r="Z2" s="3"/>
    </row>
    <row r="3" spans="1:26" ht="14.4" x14ac:dyDescent="0.3">
      <c r="A3" s="11">
        <v>1002</v>
      </c>
      <c r="B3" s="12" t="s">
        <v>55</v>
      </c>
      <c r="C3" s="11">
        <v>78</v>
      </c>
      <c r="D3" s="11">
        <v>76</v>
      </c>
      <c r="E3" s="11">
        <v>70</v>
      </c>
      <c r="F3" s="39">
        <v>43281</v>
      </c>
      <c r="G3" s="13">
        <f t="shared" si="0"/>
        <v>74.7</v>
      </c>
      <c r="H3" s="14" t="str">
        <f t="shared" si="1"/>
        <v>B</v>
      </c>
      <c r="I3" s="14" t="str">
        <f t="shared" si="2"/>
        <v>No</v>
      </c>
      <c r="J3" s="15" t="str">
        <f t="shared" si="3"/>
        <v>Student</v>
      </c>
      <c r="K3" s="15" t="str">
        <f t="shared" si="4"/>
        <v>STUDENT 2</v>
      </c>
      <c r="L3" s="15" t="str">
        <f t="shared" si="5"/>
        <v>student 2</v>
      </c>
      <c r="M3" s="3"/>
      <c r="N3" s="3"/>
      <c r="O3" s="16"/>
      <c r="P3" s="16"/>
      <c r="Q3" s="3"/>
      <c r="R3" s="3"/>
      <c r="S3" s="3"/>
      <c r="T3" s="3"/>
      <c r="U3" s="3"/>
      <c r="V3" s="3"/>
      <c r="W3" s="3"/>
      <c r="X3" s="3"/>
      <c r="Y3" s="3"/>
      <c r="Z3" s="3"/>
    </row>
    <row r="4" spans="1:26" ht="14.4" x14ac:dyDescent="0.3">
      <c r="A4" s="11">
        <v>1003</v>
      </c>
      <c r="B4" s="12" t="s">
        <v>56</v>
      </c>
      <c r="C4" s="11">
        <v>97</v>
      </c>
      <c r="D4" s="11">
        <v>60</v>
      </c>
      <c r="E4" s="11">
        <v>51</v>
      </c>
      <c r="F4" s="39">
        <v>43461</v>
      </c>
      <c r="G4" s="13">
        <f t="shared" si="0"/>
        <v>69.3</v>
      </c>
      <c r="H4" s="14" t="str">
        <f t="shared" si="1"/>
        <v>C</v>
      </c>
      <c r="I4" s="14" t="str">
        <f t="shared" si="2"/>
        <v>No</v>
      </c>
      <c r="J4" s="15" t="str">
        <f t="shared" si="3"/>
        <v>Student</v>
      </c>
      <c r="K4" s="15" t="str">
        <f t="shared" si="4"/>
        <v>STUDENT 3</v>
      </c>
      <c r="L4" s="15" t="str">
        <f t="shared" si="5"/>
        <v>student 3</v>
      </c>
      <c r="M4" s="3"/>
      <c r="N4" s="3"/>
      <c r="O4" s="8" t="s">
        <v>48</v>
      </c>
      <c r="P4" s="8" t="s">
        <v>57</v>
      </c>
      <c r="Q4" s="3"/>
      <c r="R4" s="3"/>
      <c r="S4" s="3"/>
      <c r="T4" s="3"/>
      <c r="U4" s="3"/>
      <c r="V4" s="3"/>
      <c r="W4" s="3"/>
      <c r="X4" s="3"/>
      <c r="Y4" s="3"/>
      <c r="Z4" s="3"/>
    </row>
    <row r="5" spans="1:26" ht="14.4" x14ac:dyDescent="0.3">
      <c r="A5" s="11">
        <v>1004</v>
      </c>
      <c r="B5" s="12" t="s">
        <v>58</v>
      </c>
      <c r="C5" s="11">
        <v>74</v>
      </c>
      <c r="D5" s="11">
        <v>55</v>
      </c>
      <c r="E5" s="11">
        <v>46</v>
      </c>
      <c r="F5" s="39">
        <v>43641</v>
      </c>
      <c r="G5" s="13">
        <f t="shared" si="0"/>
        <v>58.3</v>
      </c>
      <c r="H5" s="14" t="str">
        <f t="shared" si="1"/>
        <v>D</v>
      </c>
      <c r="I5" s="14" t="str">
        <f t="shared" si="2"/>
        <v>No</v>
      </c>
      <c r="J5" s="15" t="str">
        <f t="shared" si="3"/>
        <v>Student</v>
      </c>
      <c r="K5" s="15" t="str">
        <f t="shared" si="4"/>
        <v>STUDENT 4</v>
      </c>
      <c r="L5" s="15" t="str">
        <f t="shared" si="5"/>
        <v>student 4</v>
      </c>
      <c r="M5" s="3"/>
      <c r="N5" s="3"/>
      <c r="O5" s="17" t="s">
        <v>59</v>
      </c>
      <c r="P5" s="18">
        <v>90</v>
      </c>
      <c r="Q5" s="3"/>
      <c r="R5" s="3"/>
      <c r="S5" s="3"/>
      <c r="T5" s="3"/>
      <c r="U5" s="3"/>
      <c r="V5" s="3"/>
      <c r="W5" s="3"/>
      <c r="X5" s="3"/>
      <c r="Y5" s="3"/>
      <c r="Z5" s="3"/>
    </row>
    <row r="6" spans="1:26" ht="14.4" x14ac:dyDescent="0.3">
      <c r="A6" s="11">
        <v>1005</v>
      </c>
      <c r="B6" s="12" t="s">
        <v>60</v>
      </c>
      <c r="C6" s="11">
        <v>68</v>
      </c>
      <c r="D6" s="11">
        <v>74</v>
      </c>
      <c r="E6" s="11">
        <v>84</v>
      </c>
      <c r="F6" s="39">
        <v>43821</v>
      </c>
      <c r="G6" s="13">
        <f t="shared" si="0"/>
        <v>75.3</v>
      </c>
      <c r="H6" s="14" t="str">
        <f t="shared" si="1"/>
        <v>B</v>
      </c>
      <c r="I6" s="14" t="str">
        <f t="shared" si="2"/>
        <v>No</v>
      </c>
      <c r="J6" s="15" t="str">
        <f t="shared" si="3"/>
        <v>Student</v>
      </c>
      <c r="K6" s="15" t="str">
        <f t="shared" si="4"/>
        <v>STUDENT 5</v>
      </c>
      <c r="L6" s="15" t="str">
        <f t="shared" si="5"/>
        <v>student 5</v>
      </c>
      <c r="M6" s="3"/>
      <c r="N6" s="3"/>
      <c r="O6" s="17" t="s">
        <v>61</v>
      </c>
      <c r="P6" s="18">
        <v>80</v>
      </c>
      <c r="Q6" s="3"/>
      <c r="R6" s="3"/>
      <c r="S6" s="3"/>
      <c r="T6" s="3"/>
      <c r="U6" s="3"/>
      <c r="V6" s="3"/>
      <c r="W6" s="3"/>
      <c r="X6" s="3"/>
      <c r="Y6" s="3"/>
      <c r="Z6" s="3"/>
    </row>
    <row r="7" spans="1:26" ht="14.4" x14ac:dyDescent="0.3">
      <c r="A7" s="11">
        <v>1006</v>
      </c>
      <c r="B7" s="12" t="s">
        <v>62</v>
      </c>
      <c r="C7" s="11">
        <v>80</v>
      </c>
      <c r="D7" s="11">
        <v>70</v>
      </c>
      <c r="E7" s="11">
        <v>65</v>
      </c>
      <c r="F7" s="39">
        <v>44001</v>
      </c>
      <c r="G7" s="13">
        <f t="shared" si="0"/>
        <v>71.7</v>
      </c>
      <c r="H7" s="14" t="str">
        <f t="shared" si="1"/>
        <v>B</v>
      </c>
      <c r="I7" s="14" t="str">
        <f t="shared" si="2"/>
        <v>No</v>
      </c>
      <c r="J7" s="15" t="str">
        <f t="shared" si="3"/>
        <v>Student</v>
      </c>
      <c r="K7" s="15" t="str">
        <f t="shared" si="4"/>
        <v>STUDENT 6</v>
      </c>
      <c r="L7" s="15" t="str">
        <f t="shared" si="5"/>
        <v>student 6</v>
      </c>
      <c r="M7" s="3"/>
      <c r="N7" s="3"/>
      <c r="O7" s="17" t="s">
        <v>63</v>
      </c>
      <c r="P7" s="18">
        <v>70</v>
      </c>
      <c r="Q7" s="3"/>
      <c r="R7" s="3"/>
      <c r="S7" s="3"/>
      <c r="T7" s="3"/>
      <c r="U7" s="3"/>
      <c r="V7" s="3"/>
      <c r="W7" s="3"/>
      <c r="X7" s="3"/>
      <c r="Y7" s="3"/>
      <c r="Z7" s="3"/>
    </row>
    <row r="8" spans="1:26" ht="14.4" x14ac:dyDescent="0.3">
      <c r="A8" s="11">
        <v>1007</v>
      </c>
      <c r="B8" s="12" t="s">
        <v>64</v>
      </c>
      <c r="C8" s="11">
        <v>75</v>
      </c>
      <c r="D8" s="11">
        <v>47</v>
      </c>
      <c r="E8" s="11">
        <v>78</v>
      </c>
      <c r="F8" s="39">
        <v>44181</v>
      </c>
      <c r="G8" s="13">
        <f t="shared" si="0"/>
        <v>66.7</v>
      </c>
      <c r="H8" s="14" t="str">
        <f t="shared" si="1"/>
        <v>C</v>
      </c>
      <c r="I8" s="14" t="str">
        <f t="shared" si="2"/>
        <v>No</v>
      </c>
      <c r="J8" s="15" t="str">
        <f t="shared" si="3"/>
        <v>Student</v>
      </c>
      <c r="K8" s="15" t="str">
        <f t="shared" si="4"/>
        <v>STUDENT 7</v>
      </c>
      <c r="L8" s="15" t="str">
        <f t="shared" si="5"/>
        <v>student 7</v>
      </c>
      <c r="M8" s="3"/>
      <c r="N8" s="3"/>
      <c r="O8" s="17" t="s">
        <v>65</v>
      </c>
      <c r="P8" s="18">
        <v>60</v>
      </c>
      <c r="Q8" s="3"/>
      <c r="R8" s="3"/>
      <c r="S8" s="3"/>
      <c r="T8" s="3"/>
      <c r="U8" s="3"/>
      <c r="V8" s="3"/>
      <c r="W8" s="3"/>
      <c r="X8" s="3"/>
      <c r="Y8" s="3"/>
      <c r="Z8" s="3"/>
    </row>
    <row r="9" spans="1:26" ht="14.4" x14ac:dyDescent="0.3">
      <c r="A9" s="11">
        <v>1008</v>
      </c>
      <c r="B9" s="12" t="s">
        <v>66</v>
      </c>
      <c r="C9" s="11">
        <v>94</v>
      </c>
      <c r="D9" s="11">
        <v>67</v>
      </c>
      <c r="E9" s="11">
        <v>64</v>
      </c>
      <c r="F9" s="39">
        <v>44361</v>
      </c>
      <c r="G9" s="13">
        <f t="shared" si="0"/>
        <v>75</v>
      </c>
      <c r="H9" s="14" t="str">
        <f t="shared" si="1"/>
        <v>B</v>
      </c>
      <c r="I9" s="14" t="str">
        <f t="shared" si="2"/>
        <v>No</v>
      </c>
      <c r="J9" s="15" t="str">
        <f t="shared" si="3"/>
        <v>Student</v>
      </c>
      <c r="K9" s="15" t="str">
        <f t="shared" si="4"/>
        <v>STUDENT 8</v>
      </c>
      <c r="L9" s="15" t="str">
        <f t="shared" si="5"/>
        <v>student 8</v>
      </c>
      <c r="M9" s="3"/>
      <c r="N9" s="3"/>
      <c r="O9" s="17" t="s">
        <v>67</v>
      </c>
      <c r="P9" s="18">
        <v>50</v>
      </c>
      <c r="Q9" s="3"/>
      <c r="R9" s="3"/>
      <c r="S9" s="3"/>
      <c r="T9" s="3"/>
      <c r="U9" s="3"/>
      <c r="V9" s="3"/>
      <c r="W9" s="3"/>
      <c r="X9" s="3"/>
      <c r="Y9" s="3"/>
      <c r="Z9" s="3"/>
    </row>
    <row r="10" spans="1:26" ht="14.4" x14ac:dyDescent="0.3">
      <c r="A10" s="11">
        <v>1009</v>
      </c>
      <c r="B10" s="12" t="s">
        <v>68</v>
      </c>
      <c r="C10" s="11">
        <v>41</v>
      </c>
      <c r="D10" s="11">
        <v>75</v>
      </c>
      <c r="E10" s="11">
        <v>56</v>
      </c>
      <c r="F10" s="39">
        <v>44541</v>
      </c>
      <c r="G10" s="13">
        <f t="shared" si="0"/>
        <v>57.3</v>
      </c>
      <c r="H10" s="14" t="str">
        <f t="shared" si="1"/>
        <v>D</v>
      </c>
      <c r="I10" s="14" t="str">
        <f t="shared" si="2"/>
        <v>No</v>
      </c>
      <c r="J10" s="15" t="str">
        <f t="shared" si="3"/>
        <v>Student</v>
      </c>
      <c r="K10" s="15" t="str">
        <f t="shared" si="4"/>
        <v>STUDENT 9</v>
      </c>
      <c r="L10" s="15" t="str">
        <f t="shared" si="5"/>
        <v>student 9</v>
      </c>
      <c r="M10" s="3"/>
      <c r="N10" s="3"/>
      <c r="O10" s="17" t="s">
        <v>69</v>
      </c>
      <c r="P10" s="18">
        <v>0</v>
      </c>
      <c r="Q10" s="3"/>
      <c r="R10" s="3"/>
      <c r="S10" s="3"/>
      <c r="T10" s="3"/>
      <c r="U10" s="3"/>
      <c r="V10" s="3"/>
      <c r="W10" s="3"/>
      <c r="X10" s="3"/>
      <c r="Y10" s="3"/>
      <c r="Z10" s="3"/>
    </row>
    <row r="11" spans="1:26" ht="14.4" x14ac:dyDescent="0.3">
      <c r="A11" s="11">
        <v>1010</v>
      </c>
      <c r="B11" s="12" t="s">
        <v>70</v>
      </c>
      <c r="C11" s="11">
        <v>98</v>
      </c>
      <c r="D11" s="11">
        <v>54</v>
      </c>
      <c r="E11" s="11">
        <v>58</v>
      </c>
      <c r="F11" s="39">
        <v>44721</v>
      </c>
      <c r="G11" s="13">
        <f t="shared" si="0"/>
        <v>70</v>
      </c>
      <c r="H11" s="14" t="str">
        <f t="shared" si="1"/>
        <v>B</v>
      </c>
      <c r="I11" s="14" t="str">
        <f t="shared" si="2"/>
        <v>No</v>
      </c>
      <c r="J11" s="15" t="str">
        <f t="shared" si="3"/>
        <v>Student</v>
      </c>
      <c r="K11" s="15" t="str">
        <f t="shared" si="4"/>
        <v>STUDENT 10</v>
      </c>
      <c r="L11" s="15" t="str">
        <f t="shared" si="5"/>
        <v>student 10</v>
      </c>
      <c r="M11" s="3"/>
      <c r="N11" s="3"/>
      <c r="O11" s="3"/>
      <c r="P11" s="3"/>
      <c r="Q11" s="3"/>
      <c r="R11" s="3"/>
      <c r="S11" s="3"/>
      <c r="T11" s="3"/>
      <c r="U11" s="3"/>
      <c r="V11" s="3"/>
      <c r="W11" s="3"/>
      <c r="X11" s="3"/>
      <c r="Y11" s="3"/>
      <c r="Z11" s="3"/>
    </row>
    <row r="12" spans="1:26" ht="14.4" x14ac:dyDescent="0.3">
      <c r="A12" s="11">
        <v>1011</v>
      </c>
      <c r="B12" s="12" t="s">
        <v>71</v>
      </c>
      <c r="C12" s="11">
        <v>73</v>
      </c>
      <c r="D12" s="11">
        <v>79</v>
      </c>
      <c r="E12" s="11">
        <v>53</v>
      </c>
      <c r="F12" s="39">
        <v>44901</v>
      </c>
      <c r="G12" s="13">
        <f t="shared" si="0"/>
        <v>68.3</v>
      </c>
      <c r="H12" s="14" t="str">
        <f t="shared" si="1"/>
        <v>C</v>
      </c>
      <c r="I12" s="14" t="str">
        <f t="shared" si="2"/>
        <v>No</v>
      </c>
      <c r="J12" s="15" t="str">
        <f t="shared" si="3"/>
        <v>Student</v>
      </c>
      <c r="K12" s="15" t="str">
        <f t="shared" si="4"/>
        <v>STUDENT 11</v>
      </c>
      <c r="L12" s="15" t="str">
        <f t="shared" si="5"/>
        <v>student 11</v>
      </c>
      <c r="M12" s="3"/>
      <c r="N12" s="3"/>
      <c r="O12" s="19" t="s">
        <v>72</v>
      </c>
      <c r="P12" s="10"/>
      <c r="Q12" s="3"/>
      <c r="R12" s="3"/>
      <c r="S12" s="3"/>
      <c r="T12" s="3"/>
      <c r="U12" s="3"/>
      <c r="V12" s="3"/>
      <c r="W12" s="3"/>
      <c r="X12" s="3"/>
      <c r="Y12" s="3"/>
      <c r="Z12" s="3"/>
    </row>
    <row r="13" spans="1:26" ht="14.4" x14ac:dyDescent="0.3">
      <c r="A13" s="11">
        <v>1012</v>
      </c>
      <c r="B13" s="12" t="s">
        <v>73</v>
      </c>
      <c r="C13" s="11">
        <v>85</v>
      </c>
      <c r="D13" s="11">
        <v>89</v>
      </c>
      <c r="E13" s="11">
        <v>79</v>
      </c>
      <c r="F13" s="39">
        <v>45081</v>
      </c>
      <c r="G13" s="13">
        <f t="shared" si="0"/>
        <v>84.3</v>
      </c>
      <c r="H13" s="14" t="str">
        <f t="shared" si="1"/>
        <v>A</v>
      </c>
      <c r="I13" s="14" t="str">
        <f t="shared" si="2"/>
        <v>Yes</v>
      </c>
      <c r="J13" s="15" t="str">
        <f t="shared" si="3"/>
        <v>Student</v>
      </c>
      <c r="K13" s="15" t="str">
        <f t="shared" si="4"/>
        <v>STUDENT 12</v>
      </c>
      <c r="L13" s="15" t="str">
        <f t="shared" si="5"/>
        <v>student 12</v>
      </c>
      <c r="M13" s="3"/>
      <c r="N13" s="3"/>
      <c r="O13" s="20" t="s">
        <v>74</v>
      </c>
      <c r="P13" s="18">
        <v>50</v>
      </c>
      <c r="Q13" s="3"/>
      <c r="R13" s="3"/>
      <c r="S13" s="3"/>
      <c r="T13" s="3"/>
      <c r="U13" s="3"/>
      <c r="V13" s="3"/>
      <c r="W13" s="3"/>
      <c r="X13" s="3"/>
      <c r="Y13" s="3"/>
      <c r="Z13" s="3"/>
    </row>
    <row r="14" spans="1:26" ht="14.4" x14ac:dyDescent="0.3">
      <c r="A14" s="11">
        <v>1013</v>
      </c>
      <c r="B14" s="12" t="s">
        <v>75</v>
      </c>
      <c r="C14" s="11">
        <v>98</v>
      </c>
      <c r="D14" s="11">
        <v>90</v>
      </c>
      <c r="E14" s="11">
        <v>97</v>
      </c>
      <c r="F14" s="39">
        <v>45261</v>
      </c>
      <c r="G14" s="13">
        <f t="shared" si="0"/>
        <v>95</v>
      </c>
      <c r="H14" s="14" t="str">
        <f t="shared" si="1"/>
        <v>A+</v>
      </c>
      <c r="I14" s="14" t="str">
        <f t="shared" si="2"/>
        <v>Yes</v>
      </c>
      <c r="J14" s="15" t="str">
        <f t="shared" si="3"/>
        <v>Student</v>
      </c>
      <c r="K14" s="15" t="str">
        <f t="shared" si="4"/>
        <v>STUDENT 13</v>
      </c>
      <c r="L14" s="15" t="str">
        <f t="shared" si="5"/>
        <v>student 13</v>
      </c>
      <c r="M14" s="3"/>
      <c r="N14" s="3"/>
      <c r="O14" s="20" t="s">
        <v>76</v>
      </c>
      <c r="P14" s="18">
        <v>80</v>
      </c>
      <c r="Q14" s="3"/>
      <c r="R14" s="3"/>
      <c r="S14" s="3"/>
      <c r="T14" s="3"/>
      <c r="U14" s="3"/>
      <c r="V14" s="3"/>
      <c r="W14" s="3"/>
      <c r="X14" s="3"/>
      <c r="Y14" s="3"/>
      <c r="Z14" s="3"/>
    </row>
    <row r="15" spans="1:26" ht="14.4" x14ac:dyDescent="0.3">
      <c r="A15" s="11">
        <v>1014</v>
      </c>
      <c r="B15" s="12" t="s">
        <v>77</v>
      </c>
      <c r="C15" s="11">
        <v>93</v>
      </c>
      <c r="D15" s="11">
        <v>40</v>
      </c>
      <c r="E15" s="11">
        <v>44</v>
      </c>
      <c r="F15" s="39">
        <v>45441</v>
      </c>
      <c r="G15" s="13">
        <f t="shared" si="0"/>
        <v>59</v>
      </c>
      <c r="H15" s="14" t="str">
        <f t="shared" si="1"/>
        <v>D</v>
      </c>
      <c r="I15" s="14" t="str">
        <f t="shared" si="2"/>
        <v>No</v>
      </c>
      <c r="J15" s="15" t="str">
        <f t="shared" si="3"/>
        <v>Student</v>
      </c>
      <c r="K15" s="15" t="str">
        <f t="shared" si="4"/>
        <v>STUDENT 14</v>
      </c>
      <c r="L15" s="15" t="str">
        <f t="shared" si="5"/>
        <v>student 14</v>
      </c>
      <c r="M15" s="3"/>
      <c r="N15" s="3"/>
      <c r="O15" s="20" t="s">
        <v>78</v>
      </c>
      <c r="P15" s="18">
        <v>60</v>
      </c>
      <c r="Q15" s="3"/>
      <c r="R15" s="3"/>
      <c r="S15" s="3"/>
      <c r="T15" s="3"/>
      <c r="U15" s="3"/>
      <c r="V15" s="3"/>
      <c r="W15" s="3"/>
      <c r="X15" s="3"/>
      <c r="Y15" s="3"/>
      <c r="Z15" s="3"/>
    </row>
    <row r="16" spans="1:26" ht="14.4" x14ac:dyDescent="0.3">
      <c r="A16" s="11">
        <v>1015</v>
      </c>
      <c r="B16" s="12" t="s">
        <v>79</v>
      </c>
      <c r="C16" s="11">
        <v>70</v>
      </c>
      <c r="D16" s="11">
        <v>51</v>
      </c>
      <c r="E16" s="11">
        <v>75</v>
      </c>
      <c r="F16" s="39">
        <v>45621</v>
      </c>
      <c r="G16" s="13">
        <f t="shared" si="0"/>
        <v>65.3</v>
      </c>
      <c r="H16" s="14" t="str">
        <f t="shared" si="1"/>
        <v>C</v>
      </c>
      <c r="I16" s="14" t="str">
        <f t="shared" si="2"/>
        <v>No</v>
      </c>
      <c r="J16" s="15" t="str">
        <f t="shared" si="3"/>
        <v>Student</v>
      </c>
      <c r="K16" s="15" t="str">
        <f t="shared" si="4"/>
        <v>STUDENT 15</v>
      </c>
      <c r="L16" s="15" t="str">
        <f t="shared" si="5"/>
        <v>student 15</v>
      </c>
      <c r="M16" s="3"/>
      <c r="N16" s="3"/>
      <c r="O16" s="3"/>
      <c r="P16" s="3"/>
      <c r="Q16" s="3"/>
      <c r="R16" s="3"/>
      <c r="S16" s="3"/>
      <c r="T16" s="3"/>
      <c r="U16" s="3"/>
      <c r="V16" s="3"/>
      <c r="W16" s="3"/>
      <c r="X16" s="3"/>
      <c r="Y16" s="3"/>
      <c r="Z16" s="3"/>
    </row>
    <row r="17" spans="1:26" ht="14.4" x14ac:dyDescent="0.3">
      <c r="A17" s="11">
        <v>1016</v>
      </c>
      <c r="B17" s="12" t="s">
        <v>80</v>
      </c>
      <c r="C17" s="11">
        <v>98</v>
      </c>
      <c r="D17" s="11">
        <v>77</v>
      </c>
      <c r="E17" s="11">
        <v>60</v>
      </c>
      <c r="F17" s="39">
        <v>45801</v>
      </c>
      <c r="G17" s="13">
        <f t="shared" si="0"/>
        <v>78.3</v>
      </c>
      <c r="H17" s="14" t="str">
        <f t="shared" si="1"/>
        <v>B</v>
      </c>
      <c r="I17" s="14" t="str">
        <f t="shared" si="2"/>
        <v>No</v>
      </c>
      <c r="J17" s="15" t="str">
        <f t="shared" si="3"/>
        <v>Student</v>
      </c>
      <c r="K17" s="15" t="str">
        <f t="shared" si="4"/>
        <v>STUDENT 16</v>
      </c>
      <c r="L17" s="15" t="str">
        <f t="shared" si="5"/>
        <v>student 16</v>
      </c>
      <c r="M17" s="3"/>
      <c r="N17" s="3"/>
      <c r="O17" s="19" t="s">
        <v>81</v>
      </c>
      <c r="P17" s="10"/>
      <c r="Q17" s="3"/>
      <c r="R17" s="3"/>
      <c r="S17" s="3"/>
      <c r="T17" s="3"/>
      <c r="U17" s="3"/>
      <c r="V17" s="3"/>
      <c r="W17" s="3"/>
      <c r="X17" s="3"/>
      <c r="Y17" s="3"/>
      <c r="Z17" s="3"/>
    </row>
    <row r="18" spans="1:26" ht="14.4" x14ac:dyDescent="0.3">
      <c r="A18" s="11">
        <v>1017</v>
      </c>
      <c r="B18" s="12" t="s">
        <v>82</v>
      </c>
      <c r="C18" s="11">
        <v>66</v>
      </c>
      <c r="D18" s="11">
        <v>59</v>
      </c>
      <c r="E18" s="11">
        <v>40</v>
      </c>
      <c r="F18" s="39">
        <v>45981</v>
      </c>
      <c r="G18" s="13">
        <f t="shared" si="0"/>
        <v>55</v>
      </c>
      <c r="H18" s="14" t="str">
        <f t="shared" si="1"/>
        <v>D</v>
      </c>
      <c r="I18" s="14" t="str">
        <f t="shared" si="2"/>
        <v>No</v>
      </c>
      <c r="J18" s="15" t="str">
        <f t="shared" si="3"/>
        <v>Student</v>
      </c>
      <c r="K18" s="15" t="str">
        <f t="shared" si="4"/>
        <v>STUDENT 17</v>
      </c>
      <c r="L18" s="15" t="str">
        <f t="shared" si="5"/>
        <v>student 17</v>
      </c>
      <c r="M18" s="3"/>
      <c r="N18" s="3"/>
      <c r="O18" s="20" t="s">
        <v>83</v>
      </c>
      <c r="P18" s="21">
        <f>COUNTA($A$2:$A$1000)</f>
        <v>20</v>
      </c>
      <c r="Q18" s="3"/>
      <c r="R18" s="3"/>
      <c r="S18" s="3"/>
      <c r="T18" s="3"/>
      <c r="U18" s="3"/>
      <c r="V18" s="3"/>
      <c r="W18" s="3"/>
      <c r="X18" s="3"/>
      <c r="Y18" s="3"/>
      <c r="Z18" s="3"/>
    </row>
    <row r="19" spans="1:26" ht="14.4" x14ac:dyDescent="0.3">
      <c r="A19" s="11">
        <v>1018</v>
      </c>
      <c r="B19" s="12" t="s">
        <v>84</v>
      </c>
      <c r="C19" s="11">
        <v>82</v>
      </c>
      <c r="D19" s="11">
        <v>48</v>
      </c>
      <c r="E19" s="11">
        <v>79</v>
      </c>
      <c r="F19" s="39">
        <v>46161</v>
      </c>
      <c r="G19" s="13">
        <f t="shared" si="0"/>
        <v>69.7</v>
      </c>
      <c r="H19" s="14" t="str">
        <f t="shared" si="1"/>
        <v>C</v>
      </c>
      <c r="I19" s="14" t="str">
        <f t="shared" si="2"/>
        <v>No</v>
      </c>
      <c r="J19" s="15" t="str">
        <f t="shared" si="3"/>
        <v>Student</v>
      </c>
      <c r="K19" s="15" t="str">
        <f t="shared" si="4"/>
        <v>STUDENT 18</v>
      </c>
      <c r="L19" s="15" t="str">
        <f t="shared" si="5"/>
        <v>student 18</v>
      </c>
      <c r="M19" s="3"/>
      <c r="N19" s="3"/>
      <c r="O19" s="20" t="s">
        <v>85</v>
      </c>
      <c r="P19" s="21">
        <f>COUNTIFS($C$2:$C$1000,"&gt;"&amp;$P$13)</f>
        <v>19</v>
      </c>
      <c r="Q19" s="3"/>
      <c r="R19" s="3"/>
      <c r="S19" s="3"/>
      <c r="T19" s="3"/>
      <c r="U19" s="3"/>
      <c r="V19" s="3"/>
      <c r="W19" s="3"/>
      <c r="X19" s="3"/>
      <c r="Y19" s="3"/>
      <c r="Z19" s="3"/>
    </row>
    <row r="20" spans="1:26" ht="14.4" x14ac:dyDescent="0.3">
      <c r="A20" s="11">
        <v>1019</v>
      </c>
      <c r="B20" s="12" t="s">
        <v>86</v>
      </c>
      <c r="C20" s="11">
        <v>90</v>
      </c>
      <c r="D20" s="11">
        <v>78</v>
      </c>
      <c r="E20" s="11">
        <v>60</v>
      </c>
      <c r="F20" s="39">
        <v>46341</v>
      </c>
      <c r="G20" s="13">
        <f t="shared" si="0"/>
        <v>76</v>
      </c>
      <c r="H20" s="14" t="str">
        <f t="shared" si="1"/>
        <v>B</v>
      </c>
      <c r="I20" s="14" t="str">
        <f t="shared" si="2"/>
        <v>No</v>
      </c>
      <c r="J20" s="15" t="str">
        <f t="shared" si="3"/>
        <v>Student</v>
      </c>
      <c r="K20" s="15" t="str">
        <f t="shared" si="4"/>
        <v>STUDENT 19</v>
      </c>
      <c r="L20" s="15" t="str">
        <f t="shared" si="5"/>
        <v>student 19</v>
      </c>
      <c r="M20" s="3"/>
      <c r="N20" s="3"/>
      <c r="O20" s="20" t="s">
        <v>87</v>
      </c>
      <c r="P20" s="21">
        <f>COUNTIFS($C$2:$C$1000,"&gt;"&amp;$P$15)</f>
        <v>19</v>
      </c>
      <c r="Q20" s="3"/>
      <c r="R20" s="3"/>
      <c r="S20" s="3"/>
      <c r="T20" s="3"/>
      <c r="U20" s="3"/>
      <c r="V20" s="3"/>
      <c r="W20" s="3"/>
      <c r="X20" s="3"/>
      <c r="Y20" s="3"/>
      <c r="Z20" s="3"/>
    </row>
    <row r="21" spans="1:26" ht="15.75" customHeight="1" x14ac:dyDescent="0.3">
      <c r="A21" s="11">
        <v>1020</v>
      </c>
      <c r="B21" s="12" t="s">
        <v>88</v>
      </c>
      <c r="C21" s="11">
        <v>83</v>
      </c>
      <c r="D21" s="11">
        <v>92</v>
      </c>
      <c r="E21" s="11">
        <v>55</v>
      </c>
      <c r="F21" s="39">
        <v>46521</v>
      </c>
      <c r="G21" s="13">
        <f t="shared" si="0"/>
        <v>76.7</v>
      </c>
      <c r="H21" s="14" t="str">
        <f t="shared" si="1"/>
        <v>B</v>
      </c>
      <c r="I21" s="14" t="str">
        <f t="shared" si="2"/>
        <v>Yes</v>
      </c>
      <c r="J21" s="15" t="str">
        <f t="shared" si="3"/>
        <v>Student</v>
      </c>
      <c r="K21" s="15" t="str">
        <f t="shared" si="4"/>
        <v>STUDENT 20</v>
      </c>
      <c r="L21" s="15" t="str">
        <f t="shared" si="5"/>
        <v>student 20</v>
      </c>
      <c r="M21" s="3"/>
      <c r="N21" s="3"/>
      <c r="O21" s="20" t="s">
        <v>89</v>
      </c>
      <c r="P21" s="22">
        <f>ROUND(AVERAGEIFS($C$2:$C$1000,$C$2:$C$1000,"&gt;"&amp;$P$15),1)</f>
        <v>82.3</v>
      </c>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20" t="s">
        <v>90</v>
      </c>
      <c r="P22" s="21">
        <f>COUNTIFS($C$2:$C$1000,"&gt;"&amp;$P$14,$D$2:$D$1000,"&gt;"&amp;$P$14)</f>
        <v>3</v>
      </c>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20" t="s">
        <v>91</v>
      </c>
      <c r="P23" s="21">
        <f>COUNTIFS($G$2:$G$1000,"&gt;"&amp;$P$14)</f>
        <v>2</v>
      </c>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19" t="s">
        <v>92</v>
      </c>
      <c r="P25" s="10"/>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20" t="s">
        <v>93</v>
      </c>
      <c r="P26" s="18">
        <v>1005</v>
      </c>
      <c r="Q26" s="3"/>
      <c r="R26" s="3"/>
      <c r="S26" s="3"/>
      <c r="T26" s="3"/>
      <c r="U26" s="3"/>
      <c r="V26" s="3"/>
      <c r="W26" s="3"/>
      <c r="X26" s="3"/>
      <c r="Y26" s="3"/>
      <c r="Z26" s="3"/>
    </row>
    <row r="27" spans="1:26" ht="15.75" customHeight="1" x14ac:dyDescent="0.3">
      <c r="A27" s="3"/>
      <c r="B27" s="3"/>
      <c r="C27" s="3"/>
      <c r="D27" s="3"/>
      <c r="E27" s="3"/>
      <c r="F27" s="3"/>
      <c r="G27" s="3"/>
      <c r="H27" s="3"/>
      <c r="I27" s="3"/>
      <c r="J27" s="3"/>
      <c r="K27" s="3"/>
      <c r="L27" s="3"/>
      <c r="M27" s="3"/>
      <c r="N27" s="3"/>
      <c r="O27" s="20" t="s">
        <v>42</v>
      </c>
      <c r="P27" s="23" t="str">
        <f>IFERROR(VLOOKUP($P$26,$A$2:$B$1000,2,FALSE),"Not found")</f>
        <v>Student 5</v>
      </c>
      <c r="Q27" s="3"/>
      <c r="R27" s="3"/>
      <c r="S27" s="3"/>
      <c r="T27" s="3"/>
      <c r="U27" s="3"/>
      <c r="V27" s="3"/>
      <c r="W27" s="3"/>
      <c r="X27" s="3"/>
      <c r="Y27" s="3"/>
      <c r="Z27" s="3"/>
    </row>
    <row r="28" spans="1:26" ht="15.75" customHeight="1" x14ac:dyDescent="0.3">
      <c r="A28" s="3"/>
      <c r="B28" s="3"/>
      <c r="C28" s="3"/>
      <c r="D28" s="3"/>
      <c r="E28" s="3"/>
      <c r="F28" s="3"/>
      <c r="G28" s="3"/>
      <c r="H28" s="3"/>
      <c r="I28" s="3"/>
      <c r="J28" s="3"/>
      <c r="K28" s="3"/>
      <c r="L28" s="3"/>
      <c r="M28" s="3"/>
      <c r="N28" s="3"/>
      <c r="O28" s="20" t="s">
        <v>48</v>
      </c>
      <c r="P28" s="23" t="str">
        <f>IFERROR(VLOOKUP($P$26,$A$2:$H$1000,8,FALSE),"Not found")</f>
        <v>B</v>
      </c>
      <c r="Q28" s="3"/>
      <c r="R28" s="3"/>
      <c r="S28" s="3"/>
      <c r="T28" s="3"/>
      <c r="U28" s="3"/>
      <c r="V28" s="3"/>
      <c r="W28" s="3"/>
      <c r="X28" s="3"/>
      <c r="Y28" s="3"/>
      <c r="Z28" s="3"/>
    </row>
    <row r="29" spans="1:26" ht="15.7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
      <c r="A30" s="3"/>
      <c r="B30" s="3"/>
      <c r="C30" s="3"/>
      <c r="D30" s="3"/>
      <c r="E30" s="3"/>
      <c r="F30" s="3"/>
      <c r="G30" s="3"/>
      <c r="H30" s="3"/>
      <c r="I30" s="3"/>
      <c r="J30" s="3"/>
      <c r="K30" s="3"/>
      <c r="L30" s="3"/>
      <c r="M30" s="3"/>
      <c r="N30" s="3"/>
      <c r="O30" s="19" t="s">
        <v>94</v>
      </c>
      <c r="P30" s="10"/>
      <c r="Q30" s="10"/>
      <c r="R30" s="3"/>
      <c r="S30" s="3"/>
      <c r="T30" s="3"/>
      <c r="U30" s="3"/>
      <c r="V30" s="3"/>
      <c r="W30" s="3"/>
      <c r="X30" s="3"/>
      <c r="Y30" s="3"/>
      <c r="Z30" s="3"/>
    </row>
    <row r="31" spans="1:26" ht="15.75" customHeight="1" x14ac:dyDescent="0.3">
      <c r="A31" s="3"/>
      <c r="B31" s="3"/>
      <c r="C31" s="3"/>
      <c r="D31" s="3"/>
      <c r="E31" s="3"/>
      <c r="F31" s="3"/>
      <c r="G31" s="3"/>
      <c r="H31" s="3"/>
      <c r="I31" s="3"/>
      <c r="J31" s="3"/>
      <c r="K31" s="3"/>
      <c r="L31" s="3"/>
      <c r="M31" s="3"/>
      <c r="N31" s="3"/>
      <c r="O31" s="8" t="s">
        <v>95</v>
      </c>
      <c r="P31" s="8" t="s">
        <v>41</v>
      </c>
      <c r="Q31" s="8" t="s">
        <v>47</v>
      </c>
      <c r="R31" s="3"/>
      <c r="S31" s="3"/>
      <c r="T31" s="3"/>
      <c r="U31" s="3"/>
      <c r="V31" s="3"/>
      <c r="W31" s="3"/>
      <c r="X31" s="3"/>
      <c r="Y31" s="3"/>
      <c r="Z31" s="3"/>
    </row>
    <row r="32" spans="1:26" ht="15.75" customHeight="1" x14ac:dyDescent="0.3">
      <c r="A32" s="3"/>
      <c r="B32" s="3"/>
      <c r="C32" s="3"/>
      <c r="D32" s="3"/>
      <c r="E32" s="3"/>
      <c r="F32" s="3"/>
      <c r="G32" s="3"/>
      <c r="H32" s="3"/>
      <c r="I32" s="3"/>
      <c r="J32" s="3"/>
      <c r="K32" s="3"/>
      <c r="L32" s="3"/>
      <c r="M32" s="3"/>
      <c r="N32" s="3"/>
      <c r="O32" s="15" t="str">
        <f>IFERROR(INDEX(_xlfn._xlws.FILTER($B$2:$B$21,$G$2:$G$21&gt;$P$14),ROWS(O$32:O32)),"")</f>
        <v>Student 12</v>
      </c>
      <c r="P32" s="24">
        <f>IFERROR(INDEX(_xlfn._xlws.FILTER($A$2:$A$21,$G$2:$G$21&gt;$P$14),ROWS(O$32:O32)),"")</f>
        <v>1012</v>
      </c>
      <c r="Q32" s="13">
        <f>IFERROR(INDEX(_xlfn._xlws.FILTER($G$2:$G$21,$G$2:$G$21&gt;$P$14),ROWS(O$32:O32)),"")</f>
        <v>84.3</v>
      </c>
      <c r="R32" s="3"/>
      <c r="S32" s="3"/>
      <c r="T32" s="3"/>
      <c r="U32" s="3"/>
      <c r="V32" s="3"/>
      <c r="W32" s="3"/>
      <c r="X32" s="3"/>
      <c r="Y32" s="3"/>
      <c r="Z32" s="3"/>
    </row>
    <row r="33" spans="1:26" ht="15.75" customHeight="1" x14ac:dyDescent="0.3">
      <c r="A33" s="3"/>
      <c r="B33" s="3"/>
      <c r="C33" s="3"/>
      <c r="D33" s="3"/>
      <c r="E33" s="3"/>
      <c r="F33" s="3"/>
      <c r="G33" s="3"/>
      <c r="H33" s="3"/>
      <c r="I33" s="3"/>
      <c r="J33" s="3"/>
      <c r="K33" s="3"/>
      <c r="L33" s="3"/>
      <c r="M33" s="3"/>
      <c r="N33" s="3"/>
      <c r="O33" s="15" t="str">
        <f>IFERROR(INDEX(_xlfn._xlws.FILTER($B$2:$B$21,$G$2:$G$21&gt;$P$14),ROWS(O$32:O33)),"")</f>
        <v>Student 13</v>
      </c>
      <c r="P33" s="24">
        <f>IFERROR(INDEX(_xlfn._xlws.FILTER($A$2:$A$21,$G$2:$G$21&gt;$P$14),ROWS(O$32:O33)),"")</f>
        <v>1013</v>
      </c>
      <c r="Q33" s="13">
        <f>IFERROR(INDEX(_xlfn._xlws.FILTER($G$2:$G$21,$G$2:$G$21&gt;$P$14),ROWS(O$32:O33)),"")</f>
        <v>95</v>
      </c>
      <c r="R33" s="3"/>
      <c r="S33" s="3"/>
      <c r="T33" s="3"/>
      <c r="U33" s="3"/>
      <c r="V33" s="3"/>
      <c r="W33" s="3"/>
      <c r="X33" s="3"/>
      <c r="Y33" s="3"/>
      <c r="Z33" s="3"/>
    </row>
    <row r="34" spans="1:26" ht="15.75" customHeight="1" x14ac:dyDescent="0.3">
      <c r="A34" s="3"/>
      <c r="B34" s="3"/>
      <c r="C34" s="3"/>
      <c r="D34" s="3"/>
      <c r="E34" s="3"/>
      <c r="F34" s="3"/>
      <c r="G34" s="3"/>
      <c r="H34" s="3"/>
      <c r="I34" s="3"/>
      <c r="J34" s="3"/>
      <c r="K34" s="3"/>
      <c r="L34" s="3"/>
      <c r="M34" s="3"/>
      <c r="N34" s="3"/>
      <c r="O34" s="15" t="str">
        <f>IFERROR(INDEX(_xlfn._xlws.FILTER($B$2:$B$21,$G$2:$G$21&gt;$P$14),ROWS(O$32:O34)),"")</f>
        <v/>
      </c>
      <c r="P34" s="24" t="str">
        <f>IFERROR(INDEX(_xlfn._xlws.FILTER($A$2:$A$21,$G$2:$G$21&gt;$P$14),ROWS(O$32:O34)),"")</f>
        <v/>
      </c>
      <c r="Q34" s="13" t="str">
        <f>IFERROR(INDEX(_xlfn._xlws.FILTER($G$2:$G$21,$G$2:$G$21&gt;$P$14),ROWS(O$32:O34)),"")</f>
        <v/>
      </c>
      <c r="R34" s="3"/>
      <c r="S34" s="3"/>
      <c r="T34" s="3"/>
      <c r="U34" s="3"/>
      <c r="V34" s="3"/>
      <c r="W34" s="3"/>
      <c r="X34" s="3"/>
      <c r="Y34" s="3"/>
      <c r="Z34" s="3"/>
    </row>
    <row r="35" spans="1:26" ht="15.75" customHeight="1" x14ac:dyDescent="0.3">
      <c r="A35" s="3"/>
      <c r="B35" s="3"/>
      <c r="C35" s="3"/>
      <c r="D35" s="3"/>
      <c r="E35" s="3"/>
      <c r="F35" s="3"/>
      <c r="G35" s="3"/>
      <c r="H35" s="3"/>
      <c r="I35" s="3"/>
      <c r="J35" s="3"/>
      <c r="K35" s="3"/>
      <c r="L35" s="3"/>
      <c r="M35" s="3"/>
      <c r="N35" s="3"/>
      <c r="O35" s="15" t="str">
        <f>IFERROR(INDEX(_xlfn._xlws.FILTER($B$2:$B$21,$G$2:$G$21&gt;$P$14),ROWS(O$32:O35)),"")</f>
        <v/>
      </c>
      <c r="P35" s="24" t="str">
        <f>IFERROR(INDEX(_xlfn._xlws.FILTER($A$2:$A$21,$G$2:$G$21&gt;$P$14),ROWS(O$32:O35)),"")</f>
        <v/>
      </c>
      <c r="Q35" s="13" t="str">
        <f>IFERROR(INDEX(_xlfn._xlws.FILTER($G$2:$G$21,$G$2:$G$21&gt;$P$14),ROWS(O$32:O35)),"")</f>
        <v/>
      </c>
      <c r="R35" s="3"/>
      <c r="S35" s="3"/>
      <c r="T35" s="3"/>
      <c r="U35" s="3"/>
      <c r="V35" s="3"/>
      <c r="W35" s="3"/>
      <c r="X35" s="3"/>
      <c r="Y35" s="3"/>
      <c r="Z35" s="3"/>
    </row>
    <row r="36" spans="1:26" ht="15.75" customHeight="1" x14ac:dyDescent="0.3">
      <c r="A36" s="3"/>
      <c r="B36" s="3"/>
      <c r="C36" s="3"/>
      <c r="D36" s="3"/>
      <c r="E36" s="3"/>
      <c r="F36" s="3"/>
      <c r="G36" s="3"/>
      <c r="H36" s="3"/>
      <c r="I36" s="3"/>
      <c r="J36" s="3"/>
      <c r="K36" s="3"/>
      <c r="L36" s="3"/>
      <c r="M36" s="3"/>
      <c r="N36" s="3"/>
      <c r="O36" s="15" t="str">
        <f>IFERROR(INDEX(_xlfn._xlws.FILTER($B$2:$B$21,$G$2:$G$21&gt;$P$14),ROWS(O$32:O36)),"")</f>
        <v/>
      </c>
      <c r="P36" s="24" t="str">
        <f>IFERROR(INDEX(_xlfn._xlws.FILTER($A$2:$A$21,$G$2:$G$21&gt;$P$14),ROWS(O$32:O36)),"")</f>
        <v/>
      </c>
      <c r="Q36" s="13" t="str">
        <f>IFERROR(INDEX(_xlfn._xlws.FILTER($G$2:$G$21,$G$2:$G$21&gt;$P$14),ROWS(O$32:O36)),"")</f>
        <v/>
      </c>
      <c r="R36" s="3"/>
      <c r="S36" s="3"/>
      <c r="T36" s="3"/>
      <c r="U36" s="3"/>
      <c r="V36" s="3"/>
      <c r="W36" s="3"/>
      <c r="X36" s="3"/>
      <c r="Y36" s="3"/>
      <c r="Z36" s="3"/>
    </row>
    <row r="37" spans="1:26" ht="15.75" customHeight="1" x14ac:dyDescent="0.3">
      <c r="A37" s="3"/>
      <c r="B37" s="3"/>
      <c r="C37" s="3"/>
      <c r="D37" s="3"/>
      <c r="E37" s="3"/>
      <c r="F37" s="3"/>
      <c r="G37" s="3"/>
      <c r="H37" s="3"/>
      <c r="I37" s="3"/>
      <c r="J37" s="3"/>
      <c r="K37" s="3"/>
      <c r="L37" s="3"/>
      <c r="M37" s="3"/>
      <c r="N37" s="3"/>
      <c r="O37" s="15" t="str">
        <f>IFERROR(INDEX(_xlfn._xlws.FILTER($B$2:$B$21,$G$2:$G$21&gt;$P$14),ROWS(O$32:O37)),"")</f>
        <v/>
      </c>
      <c r="P37" s="24" t="str">
        <f>IFERROR(INDEX(_xlfn._xlws.FILTER($A$2:$A$21,$G$2:$G$21&gt;$P$14),ROWS(O$32:O37)),"")</f>
        <v/>
      </c>
      <c r="Q37" s="13" t="str">
        <f>IFERROR(INDEX(_xlfn._xlws.FILTER($G$2:$G$21,$G$2:$G$21&gt;$P$14),ROWS(O$32:O37)),"")</f>
        <v/>
      </c>
      <c r="R37" s="3"/>
      <c r="S37" s="3"/>
      <c r="T37" s="3"/>
      <c r="U37" s="3"/>
      <c r="V37" s="3"/>
      <c r="W37" s="3"/>
      <c r="X37" s="3"/>
      <c r="Y37" s="3"/>
      <c r="Z37" s="3"/>
    </row>
    <row r="38" spans="1:26" ht="15.75" customHeight="1" x14ac:dyDescent="0.3">
      <c r="A38" s="3"/>
      <c r="B38" s="3"/>
      <c r="C38" s="3"/>
      <c r="D38" s="3"/>
      <c r="E38" s="3"/>
      <c r="F38" s="3"/>
      <c r="G38" s="3"/>
      <c r="H38" s="3"/>
      <c r="I38" s="3"/>
      <c r="J38" s="3"/>
      <c r="K38" s="3"/>
      <c r="L38" s="3"/>
      <c r="M38" s="3"/>
      <c r="N38" s="3"/>
      <c r="O38" s="15" t="str">
        <f>IFERROR(INDEX(_xlfn._xlws.FILTER($B$2:$B$21,$G$2:$G$21&gt;$P$14),ROWS(O$32:O38)),"")</f>
        <v/>
      </c>
      <c r="P38" s="24" t="str">
        <f>IFERROR(INDEX(_xlfn._xlws.FILTER($A$2:$A$21,$G$2:$G$21&gt;$P$14),ROWS(O$32:O38)),"")</f>
        <v/>
      </c>
      <c r="Q38" s="13" t="str">
        <f>IFERROR(INDEX(_xlfn._xlws.FILTER($G$2:$G$21,$G$2:$G$21&gt;$P$14),ROWS(O$32:O38)),"")</f>
        <v/>
      </c>
      <c r="R38" s="3"/>
      <c r="S38" s="3"/>
      <c r="T38" s="3"/>
      <c r="U38" s="3"/>
      <c r="V38" s="3"/>
      <c r="W38" s="3"/>
      <c r="X38" s="3"/>
      <c r="Y38" s="3"/>
      <c r="Z38" s="3"/>
    </row>
    <row r="39" spans="1:26" ht="15.75" customHeight="1" x14ac:dyDescent="0.3">
      <c r="A39" s="3"/>
      <c r="B39" s="3"/>
      <c r="C39" s="3"/>
      <c r="D39" s="3"/>
      <c r="E39" s="3"/>
      <c r="F39" s="3"/>
      <c r="G39" s="3"/>
      <c r="H39" s="3"/>
      <c r="I39" s="3"/>
      <c r="J39" s="3"/>
      <c r="K39" s="3"/>
      <c r="L39" s="3"/>
      <c r="M39" s="3"/>
      <c r="N39" s="3"/>
      <c r="O39" s="15" t="str">
        <f>IFERROR(INDEX(_xlfn._xlws.FILTER($B$2:$B$21,$G$2:$G$21&gt;$P$14),ROWS(O$32:O39)),"")</f>
        <v/>
      </c>
      <c r="P39" s="24" t="str">
        <f>IFERROR(INDEX(_xlfn._xlws.FILTER($A$2:$A$21,$G$2:$G$21&gt;$P$14),ROWS(O$32:O39)),"")</f>
        <v/>
      </c>
      <c r="Q39" s="13" t="str">
        <f>IFERROR(INDEX(_xlfn._xlws.FILTER($G$2:$G$21,$G$2:$G$21&gt;$P$14),ROWS(O$32:O39)),"")</f>
        <v/>
      </c>
      <c r="R39" s="3"/>
      <c r="S39" s="3"/>
      <c r="T39" s="3"/>
      <c r="U39" s="3"/>
      <c r="V39" s="3"/>
      <c r="W39" s="3"/>
      <c r="X39" s="3"/>
      <c r="Y39" s="3"/>
      <c r="Z39" s="3"/>
    </row>
    <row r="40" spans="1:26" ht="15.75" customHeight="1" x14ac:dyDescent="0.3">
      <c r="A40" s="3"/>
      <c r="B40" s="3"/>
      <c r="C40" s="3"/>
      <c r="D40" s="3"/>
      <c r="E40" s="3"/>
      <c r="F40" s="3"/>
      <c r="G40" s="3"/>
      <c r="H40" s="3"/>
      <c r="I40" s="3"/>
      <c r="J40" s="3"/>
      <c r="K40" s="3"/>
      <c r="L40" s="3"/>
      <c r="M40" s="3"/>
      <c r="N40" s="3"/>
      <c r="O40" s="15" t="str">
        <f>IFERROR(INDEX(_xlfn._xlws.FILTER($B$2:$B$21,$G$2:$G$21&gt;$P$14),ROWS(O$32:O40)),"")</f>
        <v/>
      </c>
      <c r="P40" s="24" t="str">
        <f>IFERROR(INDEX(_xlfn._xlws.FILTER($A$2:$A$21,$G$2:$G$21&gt;$P$14),ROWS(O$32:O40)),"")</f>
        <v/>
      </c>
      <c r="Q40" s="13" t="str">
        <f>IFERROR(INDEX(_xlfn._xlws.FILTER($G$2:$G$21,$G$2:$G$21&gt;$P$14),ROWS(O$32:O40)),"")</f>
        <v/>
      </c>
      <c r="R40" s="3"/>
      <c r="S40" s="3"/>
      <c r="T40" s="3"/>
      <c r="U40" s="3"/>
      <c r="V40" s="3"/>
      <c r="W40" s="3"/>
      <c r="X40" s="3"/>
      <c r="Y40" s="3"/>
      <c r="Z40" s="3"/>
    </row>
    <row r="41" spans="1:26" ht="15.75" customHeight="1" x14ac:dyDescent="0.3">
      <c r="A41" s="3"/>
      <c r="B41" s="3"/>
      <c r="C41" s="3"/>
      <c r="D41" s="3"/>
      <c r="E41" s="3"/>
      <c r="F41" s="3"/>
      <c r="G41" s="3"/>
      <c r="H41" s="3"/>
      <c r="I41" s="3"/>
      <c r="J41" s="3"/>
      <c r="K41" s="3"/>
      <c r="L41" s="3"/>
      <c r="M41" s="3"/>
      <c r="N41" s="3"/>
      <c r="O41" s="15" t="str">
        <f>IFERROR(INDEX(_xlfn._xlws.FILTER($B$2:$B$21,$G$2:$G$21&gt;$P$14),ROWS(O$32:O41)),"")</f>
        <v/>
      </c>
      <c r="P41" s="24" t="str">
        <f>IFERROR(INDEX(_xlfn._xlws.FILTER($A$2:$A$21,$G$2:$G$21&gt;$P$14),ROWS(O$32:O41)),"")</f>
        <v/>
      </c>
      <c r="Q41" s="13" t="str">
        <f>IFERROR(INDEX(_xlfn._xlws.FILTER($G$2:$G$21,$G$2:$G$21&gt;$P$14),ROWS(O$32:O41)),"")</f>
        <v/>
      </c>
      <c r="R41" s="3"/>
      <c r="S41" s="3"/>
      <c r="T41" s="3"/>
      <c r="U41" s="3"/>
      <c r="V41" s="3"/>
      <c r="W41" s="3"/>
      <c r="X41" s="3"/>
      <c r="Y41" s="3"/>
      <c r="Z41" s="3"/>
    </row>
    <row r="42" spans="1:26"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L22" xr:uid="{00000000-0009-0000-0000-000001000000}"/>
  <conditionalFormatting sqref="I2:I21">
    <cfRule type="cellIs" dxfId="2" priority="1" operator="equal">
      <formula>"Yes"</formula>
    </cfRule>
  </conditionalFormatting>
  <dataValidations count="1">
    <dataValidation type="list" sqref="P26" xr:uid="{00000000-0002-0000-0100-000000000000}">
      <formula1>$A$2:$A$21</formula1>
    </dataValidation>
  </dataValidations>
  <pageMargins left="0.75" right="0.75" top="1" bottom="1"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597"/>
    <pageSetUpPr fitToPage="1"/>
  </sheetPr>
  <dimension ref="A1:Z1000"/>
  <sheetViews>
    <sheetView zoomScale="53" workbookViewId="0">
      <pane xSplit="1" ySplit="1" topLeftCell="B12" activePane="bottomRight" state="frozen"/>
      <selection pane="topRight"/>
      <selection pane="bottomLeft"/>
      <selection pane="bottomRight" activeCell="A5" sqref="A5"/>
    </sheetView>
  </sheetViews>
  <sheetFormatPr defaultColWidth="14.44140625" defaultRowHeight="15" customHeight="1" x14ac:dyDescent="0.3"/>
  <cols>
    <col min="1" max="1" width="10" customWidth="1"/>
    <col min="2" max="2" width="12" customWidth="1"/>
    <col min="3" max="3" width="10" customWidth="1"/>
    <col min="4" max="4" width="13" customWidth="1"/>
    <col min="5" max="5" width="12" customWidth="1"/>
    <col min="6" max="7" width="14" customWidth="1"/>
    <col min="8" max="8" width="11" customWidth="1"/>
    <col min="9" max="10" width="14" customWidth="1"/>
    <col min="11" max="11" width="12" customWidth="1"/>
    <col min="12" max="12" width="18" customWidth="1"/>
    <col min="13" max="14" width="16" customWidth="1"/>
    <col min="15" max="15" width="3" customWidth="1"/>
    <col min="16" max="16" width="38" customWidth="1"/>
    <col min="17" max="17" width="16" customWidth="1"/>
    <col min="18" max="26" width="14" customWidth="1"/>
  </cols>
  <sheetData>
    <row r="1" spans="1:26" ht="31.95" customHeight="1" x14ac:dyDescent="0.3">
      <c r="A1" s="7" t="s">
        <v>96</v>
      </c>
      <c r="B1" s="7" t="s">
        <v>97</v>
      </c>
      <c r="C1" s="7" t="s">
        <v>98</v>
      </c>
      <c r="D1" s="7" t="s">
        <v>99</v>
      </c>
      <c r="E1" s="7" t="s">
        <v>100</v>
      </c>
      <c r="F1" s="7" t="s">
        <v>101</v>
      </c>
      <c r="G1" s="8" t="s">
        <v>102</v>
      </c>
      <c r="H1" s="8" t="s">
        <v>103</v>
      </c>
      <c r="I1" s="8" t="s">
        <v>104</v>
      </c>
      <c r="J1" s="8" t="s">
        <v>105</v>
      </c>
      <c r="K1" s="8" t="s">
        <v>106</v>
      </c>
      <c r="L1" s="8" t="s">
        <v>107</v>
      </c>
      <c r="M1" s="8" t="s">
        <v>108</v>
      </c>
      <c r="N1" s="8" t="s">
        <v>109</v>
      </c>
      <c r="O1" s="3"/>
      <c r="P1" s="19" t="s">
        <v>110</v>
      </c>
      <c r="Q1" s="10"/>
      <c r="R1" s="10"/>
      <c r="S1" s="3"/>
      <c r="T1" s="3"/>
      <c r="U1" s="3"/>
      <c r="V1" s="3"/>
      <c r="W1" s="3"/>
      <c r="X1" s="3"/>
      <c r="Y1" s="3"/>
      <c r="Z1" s="3"/>
    </row>
    <row r="2" spans="1:26" ht="14.4" x14ac:dyDescent="0.3">
      <c r="A2" s="11">
        <v>2001</v>
      </c>
      <c r="B2" s="12" t="s">
        <v>111</v>
      </c>
      <c r="C2" s="12" t="s">
        <v>112</v>
      </c>
      <c r="D2" s="12" t="s">
        <v>113</v>
      </c>
      <c r="E2" s="25">
        <v>7048</v>
      </c>
      <c r="F2" s="39">
        <v>44927</v>
      </c>
      <c r="G2" s="14" t="str">
        <f t="shared" ref="G2:G21" si="0">IF(OR(E2&gt;=$Q$10,B2=$Q$11),"Eligible","Not Eligible")</f>
        <v>Not Eligible</v>
      </c>
      <c r="H2" s="26">
        <f t="shared" ref="H2:H21" si="1">IF(G2="Eligible",IF(E2&gt;=$Q$6,$R$6,IF(E2&gt;=$Q$5,$R$5,$R$4)),0)</f>
        <v>0</v>
      </c>
      <c r="I2" s="27">
        <f t="shared" ref="I2:I21" si="2">ROUND(E2*H2,2)</f>
        <v>0</v>
      </c>
      <c r="J2" s="27">
        <f t="shared" ref="J2:J21" si="3">ROUND(E2-I2,2)</f>
        <v>7048</v>
      </c>
      <c r="K2" s="14" t="str">
        <f t="shared" ref="K2:K21" si="4">TEXT(F2,"mmm-yyyy")</f>
        <v>Jan-2023</v>
      </c>
      <c r="L2" s="15" t="str">
        <f t="shared" ref="L2:L21" si="5">D2&amp;"|"&amp;K2</f>
        <v>Person 1|Jan-2023</v>
      </c>
      <c r="M2" s="28">
        <f t="shared" ref="M2:M21" si="6">CEILING(J2,$Q$12)</f>
        <v>7100</v>
      </c>
      <c r="N2" s="28">
        <f t="shared" ref="N2:N21" si="7">FLOOR(J2,$Q$12)</f>
        <v>7000</v>
      </c>
      <c r="O2" s="3"/>
      <c r="P2" s="3"/>
      <c r="Q2" s="3"/>
      <c r="R2" s="3"/>
      <c r="S2" s="3"/>
      <c r="T2" s="3"/>
      <c r="U2" s="3"/>
      <c r="V2" s="3"/>
      <c r="W2" s="3"/>
      <c r="X2" s="3"/>
      <c r="Y2" s="3"/>
      <c r="Z2" s="3"/>
    </row>
    <row r="3" spans="1:26" ht="14.4" x14ac:dyDescent="0.3">
      <c r="A3" s="11">
        <v>2002</v>
      </c>
      <c r="B3" s="12" t="s">
        <v>114</v>
      </c>
      <c r="C3" s="12" t="s">
        <v>115</v>
      </c>
      <c r="D3" s="12" t="s">
        <v>116</v>
      </c>
      <c r="E3" s="25">
        <v>17428</v>
      </c>
      <c r="F3" s="39">
        <v>44942</v>
      </c>
      <c r="G3" s="14" t="str">
        <f t="shared" si="0"/>
        <v>Not Eligible</v>
      </c>
      <c r="H3" s="26">
        <f t="shared" si="1"/>
        <v>0</v>
      </c>
      <c r="I3" s="27">
        <f t="shared" si="2"/>
        <v>0</v>
      </c>
      <c r="J3" s="27">
        <f t="shared" si="3"/>
        <v>17428</v>
      </c>
      <c r="K3" s="14" t="str">
        <f t="shared" si="4"/>
        <v>Jan-2023</v>
      </c>
      <c r="L3" s="15" t="str">
        <f t="shared" si="5"/>
        <v>Person 2|Jan-2023</v>
      </c>
      <c r="M3" s="28">
        <f t="shared" si="6"/>
        <v>17500</v>
      </c>
      <c r="N3" s="28">
        <f t="shared" si="7"/>
        <v>17400</v>
      </c>
      <c r="O3" s="3"/>
      <c r="P3" s="8" t="s">
        <v>117</v>
      </c>
      <c r="Q3" s="8" t="s">
        <v>118</v>
      </c>
      <c r="R3" s="8" t="s">
        <v>103</v>
      </c>
      <c r="S3" s="3"/>
      <c r="T3" s="3"/>
      <c r="U3" s="3"/>
      <c r="V3" s="3"/>
      <c r="W3" s="3"/>
      <c r="X3" s="3"/>
      <c r="Y3" s="3"/>
      <c r="Z3" s="3"/>
    </row>
    <row r="4" spans="1:26" ht="14.4" x14ac:dyDescent="0.3">
      <c r="A4" s="11">
        <v>2003</v>
      </c>
      <c r="B4" s="12" t="s">
        <v>119</v>
      </c>
      <c r="C4" s="12" t="s">
        <v>112</v>
      </c>
      <c r="D4" s="12" t="s">
        <v>120</v>
      </c>
      <c r="E4" s="25">
        <v>23672</v>
      </c>
      <c r="F4" s="39">
        <v>44957</v>
      </c>
      <c r="G4" s="14" t="str">
        <f t="shared" si="0"/>
        <v>Eligible</v>
      </c>
      <c r="H4" s="26">
        <f t="shared" si="1"/>
        <v>0.05</v>
      </c>
      <c r="I4" s="27">
        <f t="shared" si="2"/>
        <v>1183.5999999999999</v>
      </c>
      <c r="J4" s="27">
        <f t="shared" si="3"/>
        <v>22488.400000000001</v>
      </c>
      <c r="K4" s="14" t="str">
        <f t="shared" si="4"/>
        <v>Jan-2023</v>
      </c>
      <c r="L4" s="15" t="str">
        <f t="shared" si="5"/>
        <v>Person 3|Jan-2023</v>
      </c>
      <c r="M4" s="28">
        <f t="shared" si="6"/>
        <v>22500</v>
      </c>
      <c r="N4" s="28">
        <f t="shared" si="7"/>
        <v>22400</v>
      </c>
      <c r="O4" s="3"/>
      <c r="P4" s="20" t="s">
        <v>121</v>
      </c>
      <c r="Q4" s="29">
        <v>0</v>
      </c>
      <c r="R4" s="30">
        <v>0.05</v>
      </c>
      <c r="S4" s="3"/>
      <c r="T4" s="3"/>
      <c r="U4" s="3"/>
      <c r="V4" s="3"/>
      <c r="W4" s="3"/>
      <c r="X4" s="3"/>
      <c r="Y4" s="3"/>
      <c r="Z4" s="3"/>
    </row>
    <row r="5" spans="1:26" ht="14.4" x14ac:dyDescent="0.3">
      <c r="A5" s="11">
        <v>2004</v>
      </c>
      <c r="B5" s="12" t="s">
        <v>114</v>
      </c>
      <c r="C5" s="12" t="s">
        <v>122</v>
      </c>
      <c r="D5" s="12" t="s">
        <v>123</v>
      </c>
      <c r="E5" s="25">
        <v>5264</v>
      </c>
      <c r="F5" s="39">
        <v>44972</v>
      </c>
      <c r="G5" s="14" t="str">
        <f t="shared" si="0"/>
        <v>Not Eligible</v>
      </c>
      <c r="H5" s="26">
        <f t="shared" si="1"/>
        <v>0</v>
      </c>
      <c r="I5" s="27">
        <f t="shared" si="2"/>
        <v>0</v>
      </c>
      <c r="J5" s="27">
        <f t="shared" si="3"/>
        <v>5264</v>
      </c>
      <c r="K5" s="14" t="str">
        <f t="shared" si="4"/>
        <v>Feb-2023</v>
      </c>
      <c r="L5" s="15" t="str">
        <f t="shared" si="5"/>
        <v>Person 4|Feb-2023</v>
      </c>
      <c r="M5" s="28">
        <f t="shared" si="6"/>
        <v>5300</v>
      </c>
      <c r="N5" s="28">
        <f t="shared" si="7"/>
        <v>5200</v>
      </c>
      <c r="O5" s="3"/>
      <c r="P5" s="20" t="s">
        <v>124</v>
      </c>
      <c r="Q5" s="29">
        <v>30000</v>
      </c>
      <c r="R5" s="30">
        <v>0.1</v>
      </c>
      <c r="S5" s="3"/>
      <c r="T5" s="3"/>
      <c r="U5" s="3"/>
      <c r="V5" s="3"/>
      <c r="W5" s="3"/>
      <c r="X5" s="3"/>
      <c r="Y5" s="3"/>
      <c r="Z5" s="3"/>
    </row>
    <row r="6" spans="1:26" ht="14.4" x14ac:dyDescent="0.3">
      <c r="A6" s="11">
        <v>2005</v>
      </c>
      <c r="B6" s="12" t="s">
        <v>111</v>
      </c>
      <c r="C6" s="12" t="s">
        <v>125</v>
      </c>
      <c r="D6" s="12" t="s">
        <v>126</v>
      </c>
      <c r="E6" s="25">
        <v>43388</v>
      </c>
      <c r="F6" s="39">
        <v>44987</v>
      </c>
      <c r="G6" s="14" t="str">
        <f t="shared" si="0"/>
        <v>Eligible</v>
      </c>
      <c r="H6" s="26">
        <f t="shared" si="1"/>
        <v>0.15</v>
      </c>
      <c r="I6" s="27">
        <f t="shared" si="2"/>
        <v>6508.2</v>
      </c>
      <c r="J6" s="27">
        <f t="shared" si="3"/>
        <v>36879.800000000003</v>
      </c>
      <c r="K6" s="14" t="str">
        <f t="shared" si="4"/>
        <v>Mar-2023</v>
      </c>
      <c r="L6" s="15" t="str">
        <f t="shared" si="5"/>
        <v>Person 5|Mar-2023</v>
      </c>
      <c r="M6" s="28">
        <f t="shared" si="6"/>
        <v>36900</v>
      </c>
      <c r="N6" s="28">
        <f t="shared" si="7"/>
        <v>36800</v>
      </c>
      <c r="O6" s="3"/>
      <c r="P6" s="20" t="s">
        <v>127</v>
      </c>
      <c r="Q6" s="29">
        <v>40000</v>
      </c>
      <c r="R6" s="30">
        <v>0.15</v>
      </c>
      <c r="S6" s="3"/>
      <c r="T6" s="3"/>
      <c r="U6" s="3"/>
      <c r="V6" s="3"/>
      <c r="W6" s="3"/>
      <c r="X6" s="3"/>
      <c r="Y6" s="3"/>
      <c r="Z6" s="3"/>
    </row>
    <row r="7" spans="1:26" ht="14.4" x14ac:dyDescent="0.3">
      <c r="A7" s="11">
        <v>2006</v>
      </c>
      <c r="B7" s="12" t="s">
        <v>119</v>
      </c>
      <c r="C7" s="12" t="s">
        <v>125</v>
      </c>
      <c r="D7" s="12" t="s">
        <v>128</v>
      </c>
      <c r="E7" s="25">
        <v>19757</v>
      </c>
      <c r="F7" s="39">
        <v>45002</v>
      </c>
      <c r="G7" s="14" t="str">
        <f t="shared" si="0"/>
        <v>Not Eligible</v>
      </c>
      <c r="H7" s="26">
        <f t="shared" si="1"/>
        <v>0</v>
      </c>
      <c r="I7" s="27">
        <f t="shared" si="2"/>
        <v>0</v>
      </c>
      <c r="J7" s="27">
        <f t="shared" si="3"/>
        <v>19757</v>
      </c>
      <c r="K7" s="14" t="str">
        <f t="shared" si="4"/>
        <v>Mar-2023</v>
      </c>
      <c r="L7" s="15" t="str">
        <f t="shared" si="5"/>
        <v>Person 6|Mar-2023</v>
      </c>
      <c r="M7" s="28">
        <f t="shared" si="6"/>
        <v>19800</v>
      </c>
      <c r="N7" s="28">
        <f t="shared" si="7"/>
        <v>19700</v>
      </c>
      <c r="O7" s="3"/>
      <c r="P7" s="3"/>
      <c r="Q7" s="3"/>
      <c r="R7" s="3"/>
      <c r="S7" s="3"/>
      <c r="T7" s="3"/>
      <c r="U7" s="3"/>
      <c r="V7" s="3"/>
      <c r="W7" s="3"/>
      <c r="X7" s="3"/>
      <c r="Y7" s="3"/>
      <c r="Z7" s="3"/>
    </row>
    <row r="8" spans="1:26" ht="14.4" x14ac:dyDescent="0.3">
      <c r="A8" s="11">
        <v>2007</v>
      </c>
      <c r="B8" s="12" t="s">
        <v>119</v>
      </c>
      <c r="C8" s="12" t="s">
        <v>122</v>
      </c>
      <c r="D8" s="12" t="s">
        <v>129</v>
      </c>
      <c r="E8" s="25">
        <v>32058</v>
      </c>
      <c r="F8" s="39">
        <v>45017</v>
      </c>
      <c r="G8" s="14" t="str">
        <f t="shared" si="0"/>
        <v>Eligible</v>
      </c>
      <c r="H8" s="26">
        <f t="shared" si="1"/>
        <v>0.1</v>
      </c>
      <c r="I8" s="27">
        <f t="shared" si="2"/>
        <v>3205.8</v>
      </c>
      <c r="J8" s="27">
        <f t="shared" si="3"/>
        <v>28852.2</v>
      </c>
      <c r="K8" s="14" t="str">
        <f t="shared" si="4"/>
        <v>Apr-2023</v>
      </c>
      <c r="L8" s="15" t="str">
        <f t="shared" si="5"/>
        <v>Person 7|Apr-2023</v>
      </c>
      <c r="M8" s="28">
        <f t="shared" si="6"/>
        <v>28900</v>
      </c>
      <c r="N8" s="28">
        <f t="shared" si="7"/>
        <v>28800</v>
      </c>
      <c r="O8" s="3"/>
      <c r="P8" s="19" t="s">
        <v>130</v>
      </c>
      <c r="Q8" s="10"/>
      <c r="R8" s="3"/>
      <c r="S8" s="3"/>
      <c r="T8" s="3"/>
      <c r="U8" s="3"/>
      <c r="V8" s="3"/>
      <c r="W8" s="3"/>
      <c r="X8" s="3"/>
      <c r="Y8" s="3"/>
      <c r="Z8" s="3"/>
    </row>
    <row r="9" spans="1:26" ht="14.4" x14ac:dyDescent="0.3">
      <c r="A9" s="11">
        <v>2008</v>
      </c>
      <c r="B9" s="12" t="s">
        <v>111</v>
      </c>
      <c r="C9" s="12" t="s">
        <v>122</v>
      </c>
      <c r="D9" s="12" t="s">
        <v>131</v>
      </c>
      <c r="E9" s="25">
        <v>46429</v>
      </c>
      <c r="F9" s="39">
        <v>45032</v>
      </c>
      <c r="G9" s="14" t="str">
        <f t="shared" si="0"/>
        <v>Eligible</v>
      </c>
      <c r="H9" s="26">
        <f t="shared" si="1"/>
        <v>0.15</v>
      </c>
      <c r="I9" s="27">
        <f t="shared" si="2"/>
        <v>6964.35</v>
      </c>
      <c r="J9" s="27">
        <f t="shared" si="3"/>
        <v>39464.65</v>
      </c>
      <c r="K9" s="14" t="str">
        <f t="shared" si="4"/>
        <v>Apr-2023</v>
      </c>
      <c r="L9" s="15" t="str">
        <f t="shared" si="5"/>
        <v>Person 8|Apr-2023</v>
      </c>
      <c r="M9" s="28">
        <f t="shared" si="6"/>
        <v>39500</v>
      </c>
      <c r="N9" s="28">
        <f t="shared" si="7"/>
        <v>39400</v>
      </c>
      <c r="O9" s="3"/>
      <c r="P9" s="3"/>
      <c r="Q9" s="3"/>
      <c r="R9" s="3"/>
      <c r="S9" s="3"/>
      <c r="T9" s="3"/>
      <c r="U9" s="3"/>
      <c r="V9" s="3"/>
      <c r="W9" s="3"/>
      <c r="X9" s="3"/>
      <c r="Y9" s="3"/>
      <c r="Z9" s="3"/>
    </row>
    <row r="10" spans="1:26" ht="14.4" x14ac:dyDescent="0.3">
      <c r="A10" s="11">
        <v>2009</v>
      </c>
      <c r="B10" s="12" t="s">
        <v>114</v>
      </c>
      <c r="C10" s="12" t="s">
        <v>122</v>
      </c>
      <c r="D10" s="12" t="s">
        <v>132</v>
      </c>
      <c r="E10" s="25">
        <v>19746</v>
      </c>
      <c r="F10" s="39">
        <v>45047</v>
      </c>
      <c r="G10" s="14" t="str">
        <f t="shared" si="0"/>
        <v>Not Eligible</v>
      </c>
      <c r="H10" s="26">
        <f t="shared" si="1"/>
        <v>0</v>
      </c>
      <c r="I10" s="27">
        <f t="shared" si="2"/>
        <v>0</v>
      </c>
      <c r="J10" s="27">
        <f t="shared" si="3"/>
        <v>19746</v>
      </c>
      <c r="K10" s="14" t="str">
        <f t="shared" si="4"/>
        <v>May-2023</v>
      </c>
      <c r="L10" s="15" t="str">
        <f t="shared" si="5"/>
        <v>Person 9|May-2023</v>
      </c>
      <c r="M10" s="28">
        <f t="shared" si="6"/>
        <v>19800</v>
      </c>
      <c r="N10" s="28">
        <f t="shared" si="7"/>
        <v>19700</v>
      </c>
      <c r="O10" s="3"/>
      <c r="P10" s="20" t="s">
        <v>133</v>
      </c>
      <c r="Q10" s="29">
        <v>20000</v>
      </c>
      <c r="R10" s="3"/>
      <c r="S10" s="3"/>
      <c r="T10" s="3"/>
      <c r="U10" s="3"/>
      <c r="V10" s="3"/>
      <c r="W10" s="3"/>
      <c r="X10" s="3"/>
      <c r="Y10" s="3"/>
      <c r="Z10" s="3"/>
    </row>
    <row r="11" spans="1:26" ht="14.4" x14ac:dyDescent="0.3">
      <c r="A11" s="11">
        <v>2010</v>
      </c>
      <c r="B11" s="12" t="s">
        <v>111</v>
      </c>
      <c r="C11" s="12" t="s">
        <v>112</v>
      </c>
      <c r="D11" s="12" t="s">
        <v>134</v>
      </c>
      <c r="E11" s="25">
        <v>35185</v>
      </c>
      <c r="F11" s="39">
        <v>45062</v>
      </c>
      <c r="G11" s="14" t="str">
        <f t="shared" si="0"/>
        <v>Eligible</v>
      </c>
      <c r="H11" s="26">
        <f t="shared" si="1"/>
        <v>0.1</v>
      </c>
      <c r="I11" s="27">
        <f t="shared" si="2"/>
        <v>3518.5</v>
      </c>
      <c r="J11" s="27">
        <f t="shared" si="3"/>
        <v>31666.5</v>
      </c>
      <c r="K11" s="14" t="str">
        <f t="shared" si="4"/>
        <v>May-2023</v>
      </c>
      <c r="L11" s="15" t="str">
        <f t="shared" si="5"/>
        <v>Person 10|May-2023</v>
      </c>
      <c r="M11" s="28">
        <f t="shared" si="6"/>
        <v>31700</v>
      </c>
      <c r="N11" s="28">
        <f t="shared" si="7"/>
        <v>31600</v>
      </c>
      <c r="O11" s="3"/>
      <c r="P11" s="20" t="s">
        <v>135</v>
      </c>
      <c r="Q11" s="31" t="s">
        <v>136</v>
      </c>
      <c r="R11" s="3"/>
      <c r="S11" s="3"/>
      <c r="T11" s="3"/>
      <c r="U11" s="3"/>
      <c r="V11" s="3"/>
      <c r="W11" s="3"/>
      <c r="X11" s="3"/>
      <c r="Y11" s="3"/>
      <c r="Z11" s="3"/>
    </row>
    <row r="12" spans="1:26" ht="14.4" x14ac:dyDescent="0.3">
      <c r="A12" s="11">
        <v>2011</v>
      </c>
      <c r="B12" s="12" t="s">
        <v>111</v>
      </c>
      <c r="C12" s="12" t="s">
        <v>122</v>
      </c>
      <c r="D12" s="12" t="s">
        <v>137</v>
      </c>
      <c r="E12" s="25">
        <v>33920</v>
      </c>
      <c r="F12" s="39">
        <v>45077</v>
      </c>
      <c r="G12" s="14" t="str">
        <f t="shared" si="0"/>
        <v>Eligible</v>
      </c>
      <c r="H12" s="26">
        <f t="shared" si="1"/>
        <v>0.1</v>
      </c>
      <c r="I12" s="27">
        <f t="shared" si="2"/>
        <v>3392</v>
      </c>
      <c r="J12" s="27">
        <f t="shared" si="3"/>
        <v>30528</v>
      </c>
      <c r="K12" s="14" t="str">
        <f t="shared" si="4"/>
        <v>May-2023</v>
      </c>
      <c r="L12" s="15" t="str">
        <f t="shared" si="5"/>
        <v>Person 11|May-2023</v>
      </c>
      <c r="M12" s="28">
        <f t="shared" si="6"/>
        <v>30600</v>
      </c>
      <c r="N12" s="28">
        <f t="shared" si="7"/>
        <v>30500</v>
      </c>
      <c r="O12" s="3"/>
      <c r="P12" s="20" t="s">
        <v>138</v>
      </c>
      <c r="Q12" s="29">
        <v>100</v>
      </c>
      <c r="R12" s="3"/>
      <c r="S12" s="3"/>
      <c r="T12" s="3"/>
      <c r="U12" s="3"/>
      <c r="V12" s="3"/>
      <c r="W12" s="3"/>
      <c r="X12" s="3"/>
      <c r="Y12" s="3"/>
      <c r="Z12" s="3"/>
    </row>
    <row r="13" spans="1:26" ht="14.4" x14ac:dyDescent="0.3">
      <c r="A13" s="11">
        <v>2012</v>
      </c>
      <c r="B13" s="12" t="s">
        <v>139</v>
      </c>
      <c r="C13" s="12" t="s">
        <v>125</v>
      </c>
      <c r="D13" s="12" t="s">
        <v>140</v>
      </c>
      <c r="E13" s="25">
        <v>35611</v>
      </c>
      <c r="F13" s="39">
        <v>45092</v>
      </c>
      <c r="G13" s="14" t="str">
        <f t="shared" si="0"/>
        <v>Eligible</v>
      </c>
      <c r="H13" s="26">
        <f t="shared" si="1"/>
        <v>0.1</v>
      </c>
      <c r="I13" s="27">
        <f t="shared" si="2"/>
        <v>3561.1</v>
      </c>
      <c r="J13" s="27">
        <f t="shared" si="3"/>
        <v>32049.9</v>
      </c>
      <c r="K13" s="14" t="str">
        <f t="shared" si="4"/>
        <v>Jun-2023</v>
      </c>
      <c r="L13" s="15" t="str">
        <f t="shared" si="5"/>
        <v>Person 12|Jun-2023</v>
      </c>
      <c r="M13" s="28">
        <f t="shared" si="6"/>
        <v>32100</v>
      </c>
      <c r="N13" s="28">
        <f t="shared" si="7"/>
        <v>32000</v>
      </c>
      <c r="O13" s="3"/>
      <c r="P13" s="3"/>
      <c r="Q13" s="3"/>
      <c r="R13" s="3"/>
      <c r="S13" s="3"/>
      <c r="T13" s="3"/>
      <c r="U13" s="3"/>
      <c r="V13" s="3"/>
      <c r="W13" s="3"/>
      <c r="X13" s="3"/>
      <c r="Y13" s="3"/>
      <c r="Z13" s="3"/>
    </row>
    <row r="14" spans="1:26" ht="14.4" x14ac:dyDescent="0.3">
      <c r="A14" s="11">
        <v>2013</v>
      </c>
      <c r="B14" s="12" t="s">
        <v>136</v>
      </c>
      <c r="C14" s="12" t="s">
        <v>122</v>
      </c>
      <c r="D14" s="12" t="s">
        <v>141</v>
      </c>
      <c r="E14" s="25">
        <v>15560</v>
      </c>
      <c r="F14" s="39">
        <v>45107</v>
      </c>
      <c r="G14" s="14" t="str">
        <f t="shared" si="0"/>
        <v>Eligible</v>
      </c>
      <c r="H14" s="26">
        <f t="shared" si="1"/>
        <v>0.05</v>
      </c>
      <c r="I14" s="27">
        <f t="shared" si="2"/>
        <v>778</v>
      </c>
      <c r="J14" s="27">
        <f t="shared" si="3"/>
        <v>14782</v>
      </c>
      <c r="K14" s="14" t="str">
        <f t="shared" si="4"/>
        <v>Jun-2023</v>
      </c>
      <c r="L14" s="15" t="str">
        <f t="shared" si="5"/>
        <v>Person 13|Jun-2023</v>
      </c>
      <c r="M14" s="28">
        <f t="shared" si="6"/>
        <v>14800</v>
      </c>
      <c r="N14" s="28">
        <f t="shared" si="7"/>
        <v>14700</v>
      </c>
      <c r="O14" s="3"/>
      <c r="P14" s="19" t="s">
        <v>142</v>
      </c>
      <c r="Q14" s="10"/>
      <c r="R14" s="10"/>
      <c r="S14" s="3"/>
      <c r="T14" s="3"/>
      <c r="U14" s="3"/>
      <c r="V14" s="3"/>
      <c r="W14" s="3"/>
      <c r="X14" s="3"/>
      <c r="Y14" s="3"/>
      <c r="Z14" s="3"/>
    </row>
    <row r="15" spans="1:26" ht="14.4" x14ac:dyDescent="0.3">
      <c r="A15" s="11">
        <v>2014</v>
      </c>
      <c r="B15" s="12" t="s">
        <v>136</v>
      </c>
      <c r="C15" s="12" t="s">
        <v>112</v>
      </c>
      <c r="D15" s="12" t="s">
        <v>143</v>
      </c>
      <c r="E15" s="25">
        <v>7283</v>
      </c>
      <c r="F15" s="39">
        <v>45122</v>
      </c>
      <c r="G15" s="14" t="str">
        <f t="shared" si="0"/>
        <v>Eligible</v>
      </c>
      <c r="H15" s="26">
        <f t="shared" si="1"/>
        <v>0.05</v>
      </c>
      <c r="I15" s="27">
        <f t="shared" si="2"/>
        <v>364.15</v>
      </c>
      <c r="J15" s="27">
        <f t="shared" si="3"/>
        <v>6918.85</v>
      </c>
      <c r="K15" s="14" t="str">
        <f t="shared" si="4"/>
        <v>Jul-2023</v>
      </c>
      <c r="L15" s="15" t="str">
        <f t="shared" si="5"/>
        <v>Person 14|Jul-2023</v>
      </c>
      <c r="M15" s="28">
        <f t="shared" si="6"/>
        <v>7000</v>
      </c>
      <c r="N15" s="28">
        <f t="shared" si="7"/>
        <v>6900</v>
      </c>
      <c r="O15" s="3"/>
      <c r="P15" s="8" t="s">
        <v>144</v>
      </c>
      <c r="Q15" s="8" t="s">
        <v>97</v>
      </c>
      <c r="R15" s="8" t="s">
        <v>145</v>
      </c>
      <c r="S15" s="3"/>
      <c r="T15" s="3"/>
      <c r="U15" s="3"/>
      <c r="V15" s="3"/>
      <c r="W15" s="3"/>
      <c r="X15" s="3"/>
      <c r="Y15" s="3"/>
      <c r="Z15" s="3"/>
    </row>
    <row r="16" spans="1:26" ht="14.4" x14ac:dyDescent="0.3">
      <c r="A16" s="11">
        <v>2015</v>
      </c>
      <c r="B16" s="12" t="s">
        <v>136</v>
      </c>
      <c r="C16" s="12" t="s">
        <v>122</v>
      </c>
      <c r="D16" s="12" t="s">
        <v>146</v>
      </c>
      <c r="E16" s="25">
        <v>15678</v>
      </c>
      <c r="F16" s="39">
        <v>45137</v>
      </c>
      <c r="G16" s="14" t="str">
        <f t="shared" si="0"/>
        <v>Eligible</v>
      </c>
      <c r="H16" s="26">
        <f t="shared" si="1"/>
        <v>0.05</v>
      </c>
      <c r="I16" s="27">
        <f t="shared" si="2"/>
        <v>783.9</v>
      </c>
      <c r="J16" s="27">
        <f t="shared" si="3"/>
        <v>14894.1</v>
      </c>
      <c r="K16" s="14" t="str">
        <f t="shared" si="4"/>
        <v>Jul-2023</v>
      </c>
      <c r="L16" s="15" t="str">
        <f t="shared" si="5"/>
        <v>Person 15|Jul-2023</v>
      </c>
      <c r="M16" s="28">
        <f t="shared" si="6"/>
        <v>14900</v>
      </c>
      <c r="N16" s="28">
        <f t="shared" si="7"/>
        <v>14800</v>
      </c>
      <c r="O16" s="3"/>
      <c r="P16" s="32" t="s">
        <v>147</v>
      </c>
      <c r="Q16" s="32" t="s">
        <v>111</v>
      </c>
      <c r="R16" s="29">
        <v>1500</v>
      </c>
      <c r="S16" s="3"/>
      <c r="T16" s="3"/>
      <c r="U16" s="3"/>
      <c r="V16" s="3"/>
      <c r="W16" s="3"/>
      <c r="X16" s="3"/>
      <c r="Y16" s="3"/>
      <c r="Z16" s="3"/>
    </row>
    <row r="17" spans="1:26" ht="14.4" x14ac:dyDescent="0.3">
      <c r="A17" s="11">
        <v>2016</v>
      </c>
      <c r="B17" s="12" t="s">
        <v>119</v>
      </c>
      <c r="C17" s="12" t="s">
        <v>122</v>
      </c>
      <c r="D17" s="12" t="s">
        <v>148</v>
      </c>
      <c r="E17" s="25">
        <v>5277</v>
      </c>
      <c r="F17" s="39">
        <v>45152</v>
      </c>
      <c r="G17" s="14" t="str">
        <f t="shared" si="0"/>
        <v>Not Eligible</v>
      </c>
      <c r="H17" s="26">
        <f t="shared" si="1"/>
        <v>0</v>
      </c>
      <c r="I17" s="27">
        <f t="shared" si="2"/>
        <v>0</v>
      </c>
      <c r="J17" s="27">
        <f t="shared" si="3"/>
        <v>5277</v>
      </c>
      <c r="K17" s="14" t="str">
        <f t="shared" si="4"/>
        <v>Aug-2023</v>
      </c>
      <c r="L17" s="15" t="str">
        <f t="shared" si="5"/>
        <v>Person 16|Aug-2023</v>
      </c>
      <c r="M17" s="28">
        <f t="shared" si="6"/>
        <v>5300</v>
      </c>
      <c r="N17" s="28">
        <f t="shared" si="7"/>
        <v>5200</v>
      </c>
      <c r="O17" s="3"/>
      <c r="P17" s="32" t="s">
        <v>149</v>
      </c>
      <c r="Q17" s="32" t="s">
        <v>119</v>
      </c>
      <c r="R17" s="29">
        <v>600</v>
      </c>
      <c r="S17" s="3"/>
      <c r="T17" s="3"/>
      <c r="U17" s="3"/>
      <c r="V17" s="3"/>
      <c r="W17" s="3"/>
      <c r="X17" s="3"/>
      <c r="Y17" s="3"/>
      <c r="Z17" s="3"/>
    </row>
    <row r="18" spans="1:26" ht="14.4" x14ac:dyDescent="0.3">
      <c r="A18" s="11">
        <v>2017</v>
      </c>
      <c r="B18" s="12" t="s">
        <v>139</v>
      </c>
      <c r="C18" s="12" t="s">
        <v>125</v>
      </c>
      <c r="D18" s="12" t="s">
        <v>150</v>
      </c>
      <c r="E18" s="25">
        <v>41871</v>
      </c>
      <c r="F18" s="39">
        <v>45167</v>
      </c>
      <c r="G18" s="14" t="str">
        <f t="shared" si="0"/>
        <v>Eligible</v>
      </c>
      <c r="H18" s="26">
        <f t="shared" si="1"/>
        <v>0.15</v>
      </c>
      <c r="I18" s="27">
        <f t="shared" si="2"/>
        <v>6280.65</v>
      </c>
      <c r="J18" s="27">
        <f t="shared" si="3"/>
        <v>35590.35</v>
      </c>
      <c r="K18" s="14" t="str">
        <f t="shared" si="4"/>
        <v>Aug-2023</v>
      </c>
      <c r="L18" s="15" t="str">
        <f t="shared" si="5"/>
        <v>Person 17|Aug-2023</v>
      </c>
      <c r="M18" s="28">
        <f t="shared" si="6"/>
        <v>35600</v>
      </c>
      <c r="N18" s="28">
        <f t="shared" si="7"/>
        <v>35500</v>
      </c>
      <c r="O18" s="3"/>
      <c r="P18" s="32" t="s">
        <v>151</v>
      </c>
      <c r="Q18" s="32" t="s">
        <v>139</v>
      </c>
      <c r="R18" s="29">
        <v>9000</v>
      </c>
      <c r="S18" s="3"/>
      <c r="T18" s="3"/>
      <c r="U18" s="3"/>
      <c r="V18" s="3"/>
      <c r="W18" s="3"/>
      <c r="X18" s="3"/>
      <c r="Y18" s="3"/>
      <c r="Z18" s="3"/>
    </row>
    <row r="19" spans="1:26" ht="14.4" x14ac:dyDescent="0.3">
      <c r="A19" s="11">
        <v>2018</v>
      </c>
      <c r="B19" s="12" t="s">
        <v>139</v>
      </c>
      <c r="C19" s="12" t="s">
        <v>115</v>
      </c>
      <c r="D19" s="12" t="s">
        <v>152</v>
      </c>
      <c r="E19" s="25">
        <v>38161</v>
      </c>
      <c r="F19" s="39">
        <v>45182</v>
      </c>
      <c r="G19" s="14" t="str">
        <f t="shared" si="0"/>
        <v>Eligible</v>
      </c>
      <c r="H19" s="26">
        <f t="shared" si="1"/>
        <v>0.1</v>
      </c>
      <c r="I19" s="27">
        <f t="shared" si="2"/>
        <v>3816.1</v>
      </c>
      <c r="J19" s="27">
        <f t="shared" si="3"/>
        <v>34344.9</v>
      </c>
      <c r="K19" s="14" t="str">
        <f t="shared" si="4"/>
        <v>Sep-2023</v>
      </c>
      <c r="L19" s="15" t="str">
        <f t="shared" si="5"/>
        <v>Person 18|Sep-2023</v>
      </c>
      <c r="M19" s="28">
        <f t="shared" si="6"/>
        <v>34400</v>
      </c>
      <c r="N19" s="28">
        <f t="shared" si="7"/>
        <v>34300</v>
      </c>
      <c r="O19" s="3"/>
      <c r="P19" s="32" t="s">
        <v>153</v>
      </c>
      <c r="Q19" s="32" t="s">
        <v>114</v>
      </c>
      <c r="R19" s="29">
        <v>7500</v>
      </c>
      <c r="S19" s="3"/>
      <c r="T19" s="3"/>
      <c r="U19" s="3"/>
      <c r="V19" s="3"/>
      <c r="W19" s="3"/>
      <c r="X19" s="3"/>
      <c r="Y19" s="3"/>
      <c r="Z19" s="3"/>
    </row>
    <row r="20" spans="1:26" ht="14.4" x14ac:dyDescent="0.3">
      <c r="A20" s="11">
        <v>2019</v>
      </c>
      <c r="B20" s="12" t="s">
        <v>119</v>
      </c>
      <c r="C20" s="12" t="s">
        <v>115</v>
      </c>
      <c r="D20" s="12" t="s">
        <v>154</v>
      </c>
      <c r="E20" s="25">
        <v>30436</v>
      </c>
      <c r="F20" s="39">
        <v>45197</v>
      </c>
      <c r="G20" s="14" t="str">
        <f t="shared" si="0"/>
        <v>Eligible</v>
      </c>
      <c r="H20" s="26">
        <f t="shared" si="1"/>
        <v>0.1</v>
      </c>
      <c r="I20" s="27">
        <f t="shared" si="2"/>
        <v>3043.6</v>
      </c>
      <c r="J20" s="27">
        <f t="shared" si="3"/>
        <v>27392.400000000001</v>
      </c>
      <c r="K20" s="14" t="str">
        <f t="shared" si="4"/>
        <v>Sep-2023</v>
      </c>
      <c r="L20" s="15" t="str">
        <f t="shared" si="5"/>
        <v>Person 19|Sep-2023</v>
      </c>
      <c r="M20" s="28">
        <f t="shared" si="6"/>
        <v>27400</v>
      </c>
      <c r="N20" s="28">
        <f t="shared" si="7"/>
        <v>27300</v>
      </c>
      <c r="O20" s="3"/>
      <c r="P20" s="32" t="s">
        <v>155</v>
      </c>
      <c r="Q20" s="32" t="s">
        <v>136</v>
      </c>
      <c r="R20" s="29">
        <v>55000</v>
      </c>
      <c r="S20" s="3"/>
      <c r="T20" s="3"/>
      <c r="U20" s="3"/>
      <c r="V20" s="3"/>
      <c r="W20" s="3"/>
      <c r="X20" s="3"/>
      <c r="Y20" s="3"/>
      <c r="Z20" s="3"/>
    </row>
    <row r="21" spans="1:26" ht="15.75" customHeight="1" x14ac:dyDescent="0.3">
      <c r="A21" s="11">
        <v>2020</v>
      </c>
      <c r="B21" s="12" t="s">
        <v>114</v>
      </c>
      <c r="C21" s="12" t="s">
        <v>115</v>
      </c>
      <c r="D21" s="12" t="s">
        <v>156</v>
      </c>
      <c r="E21" s="25">
        <v>33953</v>
      </c>
      <c r="F21" s="39">
        <v>45212</v>
      </c>
      <c r="G21" s="14" t="str">
        <f t="shared" si="0"/>
        <v>Eligible</v>
      </c>
      <c r="H21" s="26">
        <f t="shared" si="1"/>
        <v>0.1</v>
      </c>
      <c r="I21" s="27">
        <f t="shared" si="2"/>
        <v>3395.3</v>
      </c>
      <c r="J21" s="27">
        <f t="shared" si="3"/>
        <v>30557.7</v>
      </c>
      <c r="K21" s="14" t="str">
        <f t="shared" si="4"/>
        <v>Oct-2023</v>
      </c>
      <c r="L21" s="15" t="str">
        <f t="shared" si="5"/>
        <v>Person 20|Oct-2023</v>
      </c>
      <c r="M21" s="28">
        <f t="shared" si="6"/>
        <v>30600</v>
      </c>
      <c r="N21" s="28">
        <f t="shared" si="7"/>
        <v>30500</v>
      </c>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19" t="s">
        <v>157</v>
      </c>
      <c r="Q22" s="10"/>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20" t="s">
        <v>158</v>
      </c>
      <c r="Q23" s="31" t="s">
        <v>151</v>
      </c>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20" t="s">
        <v>159</v>
      </c>
      <c r="Q24" s="23" t="str">
        <f>IFERROR(VLOOKUP($Q$23,$P$16:$R$20,2,FALSE),"Not found")</f>
        <v>Monitor</v>
      </c>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20" t="s">
        <v>160</v>
      </c>
      <c r="Q25" s="33">
        <f>IFERROR(VLOOKUP($Q$23,$P$16:$R$20,3,FALSE),"Not found")</f>
        <v>9000</v>
      </c>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
      <c r="A27" s="3"/>
      <c r="B27" s="3"/>
      <c r="C27" s="3"/>
      <c r="D27" s="3"/>
      <c r="E27" s="3"/>
      <c r="F27" s="3"/>
      <c r="G27" s="3"/>
      <c r="H27" s="3"/>
      <c r="I27" s="3"/>
      <c r="J27" s="3"/>
      <c r="K27" s="3"/>
      <c r="L27" s="3"/>
      <c r="M27" s="3"/>
      <c r="N27" s="3"/>
      <c r="O27" s="3"/>
      <c r="P27" s="20" t="s">
        <v>161</v>
      </c>
      <c r="Q27" s="31" t="s">
        <v>122</v>
      </c>
      <c r="R27" s="3"/>
      <c r="S27" s="3"/>
      <c r="T27" s="3"/>
      <c r="U27" s="3"/>
      <c r="V27" s="3"/>
      <c r="W27" s="3"/>
      <c r="X27" s="3"/>
      <c r="Y27" s="3"/>
      <c r="Z27" s="3"/>
    </row>
    <row r="28" spans="1:26" ht="15.75" customHeight="1" x14ac:dyDescent="0.3">
      <c r="A28" s="3"/>
      <c r="B28" s="3"/>
      <c r="C28" s="3"/>
      <c r="D28" s="3"/>
      <c r="E28" s="3"/>
      <c r="F28" s="3"/>
      <c r="G28" s="3"/>
      <c r="H28" s="3"/>
      <c r="I28" s="3"/>
      <c r="J28" s="3"/>
      <c r="K28" s="3"/>
      <c r="L28" s="3"/>
      <c r="M28" s="3"/>
      <c r="N28" s="3"/>
      <c r="O28" s="3"/>
      <c r="P28" s="20" t="s">
        <v>162</v>
      </c>
      <c r="Q28" s="31" t="s">
        <v>111</v>
      </c>
      <c r="R28" s="3"/>
      <c r="S28" s="3"/>
      <c r="T28" s="3"/>
      <c r="U28" s="3"/>
      <c r="V28" s="3"/>
      <c r="W28" s="3"/>
      <c r="X28" s="3"/>
      <c r="Y28" s="3"/>
      <c r="Z28" s="3"/>
    </row>
    <row r="29" spans="1:26" ht="15.75" customHeight="1" x14ac:dyDescent="0.3">
      <c r="A29" s="3"/>
      <c r="B29" s="3"/>
      <c r="C29" s="3"/>
      <c r="D29" s="3"/>
      <c r="E29" s="3"/>
      <c r="F29" s="3"/>
      <c r="G29" s="3"/>
      <c r="H29" s="3"/>
      <c r="I29" s="3"/>
      <c r="J29" s="3"/>
      <c r="K29" s="3"/>
      <c r="L29" s="3"/>
      <c r="M29" s="3"/>
      <c r="N29" s="3"/>
      <c r="O29" s="3"/>
      <c r="P29" s="20" t="s">
        <v>163</v>
      </c>
      <c r="Q29" s="33">
        <f>SUMIFS($E$2:$E$1000,$C$2:$C$1000,$Q$27,$B$2:$B$1000,$Q$28)</f>
        <v>80349</v>
      </c>
      <c r="R29" s="3"/>
      <c r="S29" s="3"/>
      <c r="T29" s="3"/>
      <c r="U29" s="3"/>
      <c r="V29" s="3"/>
      <c r="W29" s="3"/>
      <c r="X29" s="3"/>
      <c r="Y29" s="3"/>
      <c r="Z29" s="3"/>
    </row>
    <row r="30" spans="1:26" ht="15.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G31" s="3"/>
      <c r="H31" s="3"/>
      <c r="I31" s="3"/>
      <c r="J31" s="3"/>
      <c r="K31" s="3"/>
      <c r="L31" s="3"/>
      <c r="M31" s="3"/>
      <c r="N31" s="3"/>
      <c r="O31" s="3"/>
      <c r="P31" s="20" t="s">
        <v>164</v>
      </c>
      <c r="Q31" s="31" t="s">
        <v>126</v>
      </c>
      <c r="R31" s="3"/>
      <c r="S31" s="3"/>
      <c r="T31" s="3"/>
      <c r="U31" s="3"/>
      <c r="V31" s="3"/>
      <c r="W31" s="3"/>
      <c r="X31" s="3"/>
      <c r="Y31" s="3"/>
      <c r="Z31" s="3"/>
    </row>
    <row r="32" spans="1:26" ht="15.75" customHeight="1" x14ac:dyDescent="0.3">
      <c r="A32" s="3"/>
      <c r="B32" s="3"/>
      <c r="C32" s="3"/>
      <c r="D32" s="3"/>
      <c r="E32" s="3"/>
      <c r="F32" s="3"/>
      <c r="G32" s="3"/>
      <c r="H32" s="3"/>
      <c r="I32" s="3"/>
      <c r="J32" s="3"/>
      <c r="K32" s="3"/>
      <c r="L32" s="3"/>
      <c r="M32" s="3"/>
      <c r="N32" s="3"/>
      <c r="O32" s="3"/>
      <c r="P32" s="20" t="s">
        <v>165</v>
      </c>
      <c r="Q32" s="34" t="s">
        <v>166</v>
      </c>
      <c r="R32" s="3"/>
      <c r="S32" s="3"/>
      <c r="T32" s="3"/>
      <c r="U32" s="3"/>
      <c r="V32" s="3"/>
      <c r="W32" s="3"/>
      <c r="X32" s="3"/>
      <c r="Y32" s="3"/>
      <c r="Z32" s="3"/>
    </row>
    <row r="33" spans="1:26" ht="15.75" customHeight="1" x14ac:dyDescent="0.3">
      <c r="A33" s="3"/>
      <c r="B33" s="3"/>
      <c r="C33" s="3"/>
      <c r="D33" s="3"/>
      <c r="E33" s="3"/>
      <c r="F33" s="3"/>
      <c r="G33" s="3"/>
      <c r="H33" s="3"/>
      <c r="I33" s="3"/>
      <c r="J33" s="3"/>
      <c r="K33" s="3"/>
      <c r="L33" s="3"/>
      <c r="M33" s="3"/>
      <c r="N33" s="3"/>
      <c r="O33" s="3"/>
      <c r="P33" s="20" t="s">
        <v>167</v>
      </c>
      <c r="Q33" s="33">
        <f>IFERROR(INDEX($E$2:$E$1000,MATCH($Q$31&amp;"|"&amp;$Q$32,$L$2:$L$1000,0)),"Not found")</f>
        <v>43388</v>
      </c>
      <c r="R33" s="3"/>
      <c r="S33" s="3"/>
      <c r="T33" s="3"/>
      <c r="U33" s="3"/>
      <c r="V33" s="3"/>
      <c r="W33" s="3"/>
      <c r="X33" s="3"/>
      <c r="Y33" s="3"/>
      <c r="Z33" s="3"/>
    </row>
    <row r="34" spans="1:26"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G35" s="3"/>
      <c r="H35" s="3"/>
      <c r="I35" s="3"/>
      <c r="J35" s="3"/>
      <c r="K35" s="3"/>
      <c r="L35" s="3"/>
      <c r="M35" s="3"/>
      <c r="N35" s="3"/>
      <c r="O35" s="3"/>
      <c r="P35" s="20" t="s">
        <v>164</v>
      </c>
      <c r="Q35" s="31" t="s">
        <v>140</v>
      </c>
      <c r="R35" s="3"/>
      <c r="S35" s="3"/>
      <c r="T35" s="3"/>
      <c r="U35" s="3"/>
      <c r="V35" s="3"/>
      <c r="W35" s="3"/>
      <c r="X35" s="3"/>
      <c r="Y35" s="3"/>
      <c r="Z35" s="3"/>
    </row>
    <row r="36" spans="1:26" ht="15.75" customHeight="1" x14ac:dyDescent="0.3">
      <c r="A36" s="3"/>
      <c r="B36" s="3"/>
      <c r="C36" s="3"/>
      <c r="D36" s="3"/>
      <c r="E36" s="3"/>
      <c r="F36" s="3"/>
      <c r="G36" s="3"/>
      <c r="H36" s="3"/>
      <c r="I36" s="3"/>
      <c r="J36" s="3"/>
      <c r="K36" s="3"/>
      <c r="L36" s="3"/>
      <c r="M36" s="3"/>
      <c r="N36" s="3"/>
      <c r="O36" s="3"/>
      <c r="P36" s="20" t="s">
        <v>168</v>
      </c>
      <c r="Q36" s="23" t="str">
        <f>_xlfn.XLOOKUP($Q$35,$D$2:$D$1000,$B$2:$B$1000,"Not found")</f>
        <v>Monitor</v>
      </c>
      <c r="R36" s="3"/>
      <c r="S36" s="3"/>
      <c r="T36" s="3"/>
      <c r="U36" s="3"/>
      <c r="V36" s="3"/>
      <c r="W36" s="3"/>
      <c r="X36" s="3"/>
      <c r="Y36" s="3"/>
      <c r="Z36" s="3"/>
    </row>
    <row r="37" spans="1:26" ht="15.75" customHeight="1" x14ac:dyDescent="0.3">
      <c r="A37" s="3"/>
      <c r="B37" s="3"/>
      <c r="C37" s="3"/>
      <c r="D37" s="3"/>
      <c r="E37" s="3"/>
      <c r="F37" s="3"/>
      <c r="G37" s="3"/>
      <c r="H37" s="3"/>
      <c r="I37" s="3"/>
      <c r="J37" s="3"/>
      <c r="K37" s="3"/>
      <c r="L37" s="3"/>
      <c r="M37" s="3"/>
      <c r="N37" s="3"/>
      <c r="O37" s="3"/>
      <c r="P37" s="20" t="s">
        <v>169</v>
      </c>
      <c r="Q37" s="23" t="str">
        <f>_xlfn.XLOOKUP($Q$35,$D$2:$D$1000,$C$2:$C$1000,"Not found")</f>
        <v>North</v>
      </c>
      <c r="R37" s="3"/>
      <c r="S37" s="3"/>
      <c r="T37" s="3"/>
      <c r="U37" s="3"/>
      <c r="V37" s="3"/>
      <c r="W37" s="3"/>
      <c r="X37" s="3"/>
      <c r="Y37" s="3"/>
      <c r="Z37" s="3"/>
    </row>
    <row r="38" spans="1:26" ht="15.75" customHeight="1" x14ac:dyDescent="0.3">
      <c r="A38" s="3"/>
      <c r="B38" s="3"/>
      <c r="C38" s="3"/>
      <c r="D38" s="3"/>
      <c r="E38" s="3"/>
      <c r="F38" s="3"/>
      <c r="G38" s="3"/>
      <c r="H38" s="3"/>
      <c r="I38" s="3"/>
      <c r="J38" s="3"/>
      <c r="K38" s="3"/>
      <c r="L38" s="3"/>
      <c r="M38" s="3"/>
      <c r="N38" s="3"/>
      <c r="O38" s="3"/>
      <c r="P38" s="20" t="s">
        <v>170</v>
      </c>
      <c r="Q38" s="33">
        <f>_xlfn.XLOOKUP($Q$35,$D$2:$D$1000,$E$2:$E$1000,"Not found")</f>
        <v>35611</v>
      </c>
      <c r="R38" s="3"/>
      <c r="S38" s="3"/>
      <c r="T38" s="3"/>
      <c r="U38" s="3"/>
      <c r="V38" s="3"/>
      <c r="W38" s="3"/>
      <c r="X38" s="3"/>
      <c r="Y38" s="3"/>
      <c r="Z38" s="3"/>
    </row>
    <row r="39" spans="1:26"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
      <c r="A40" s="3"/>
      <c r="B40" s="3"/>
      <c r="C40" s="3"/>
      <c r="D40" s="3"/>
      <c r="E40" s="3"/>
      <c r="F40" s="3"/>
      <c r="G40" s="3"/>
      <c r="H40" s="3"/>
      <c r="I40" s="3"/>
      <c r="J40" s="3"/>
      <c r="K40" s="3"/>
      <c r="L40" s="3"/>
      <c r="M40" s="3"/>
      <c r="N40" s="3"/>
      <c r="O40" s="3"/>
      <c r="P40" s="20" t="s">
        <v>171</v>
      </c>
      <c r="Q40" s="31" t="s">
        <v>139</v>
      </c>
      <c r="R40" s="3"/>
      <c r="S40" s="3"/>
      <c r="T40" s="3"/>
      <c r="U40" s="3"/>
      <c r="V40" s="3"/>
      <c r="W40" s="3"/>
      <c r="X40" s="3"/>
      <c r="Y40" s="3"/>
      <c r="Z40" s="3"/>
    </row>
    <row r="41" spans="1:26" ht="15.75" customHeight="1" x14ac:dyDescent="0.3">
      <c r="A41" s="3"/>
      <c r="B41" s="3"/>
      <c r="C41" s="3"/>
      <c r="D41" s="3"/>
      <c r="E41" s="3"/>
      <c r="F41" s="3"/>
      <c r="G41" s="3"/>
      <c r="H41" s="3"/>
      <c r="I41" s="3"/>
      <c r="J41" s="3"/>
      <c r="K41" s="3"/>
      <c r="L41" s="3"/>
      <c r="M41" s="3"/>
      <c r="N41" s="3"/>
      <c r="O41" s="3"/>
      <c r="P41" s="20" t="s">
        <v>172</v>
      </c>
      <c r="Q41" s="21">
        <f>IFERROR(_xlfn.XMATCH($Q$40,$B$2:$B$1000),"Not found")</f>
        <v>12</v>
      </c>
      <c r="R41" s="3"/>
      <c r="S41" s="3"/>
      <c r="T41" s="3"/>
      <c r="U41" s="3"/>
      <c r="V41" s="3"/>
      <c r="W41" s="3"/>
      <c r="X41" s="3"/>
      <c r="Y41" s="3"/>
      <c r="Z41" s="3"/>
    </row>
    <row r="42" spans="1:26"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G43" s="3"/>
      <c r="H43" s="3"/>
      <c r="I43" s="3"/>
      <c r="J43" s="3"/>
      <c r="K43" s="3"/>
      <c r="L43" s="3"/>
      <c r="M43" s="3"/>
      <c r="N43" s="3"/>
      <c r="O43" s="3"/>
      <c r="P43" s="20" t="s">
        <v>173</v>
      </c>
      <c r="Q43" s="18">
        <v>5</v>
      </c>
      <c r="R43" s="3"/>
      <c r="S43" s="3"/>
      <c r="T43" s="3"/>
      <c r="U43" s="3"/>
      <c r="V43" s="3"/>
      <c r="W43" s="3"/>
      <c r="X43" s="3"/>
      <c r="Y43" s="3"/>
      <c r="Z43" s="3"/>
    </row>
    <row r="44" spans="1:26" ht="15.75" customHeight="1" x14ac:dyDescent="0.3">
      <c r="A44" s="3"/>
      <c r="B44" s="3"/>
      <c r="C44" s="3"/>
      <c r="D44" s="3"/>
      <c r="E44" s="3"/>
      <c r="F44" s="3"/>
      <c r="G44" s="3"/>
      <c r="H44" s="3"/>
      <c r="I44" s="3"/>
      <c r="J44" s="3"/>
      <c r="K44" s="3"/>
      <c r="L44" s="3"/>
      <c r="M44" s="3"/>
      <c r="N44" s="3"/>
      <c r="O44" s="3"/>
      <c r="P44" s="20" t="s">
        <v>174</v>
      </c>
      <c r="Q44" s="33">
        <f ca="1">SUM(INDIRECT("E2:E"&amp;(1+$Q$43)))</f>
        <v>96800</v>
      </c>
      <c r="R44" s="3"/>
      <c r="S44" s="3"/>
      <c r="T44" s="3"/>
      <c r="U44" s="3"/>
      <c r="V44" s="3"/>
      <c r="W44" s="3"/>
      <c r="X44" s="3"/>
      <c r="Y44" s="3"/>
      <c r="Z44" s="3"/>
    </row>
    <row r="45" spans="1:26"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G46" s="3"/>
      <c r="H46" s="3"/>
      <c r="I46" s="3"/>
      <c r="J46" s="3"/>
      <c r="K46" s="3"/>
      <c r="L46" s="3"/>
      <c r="M46" s="3"/>
      <c r="N46" s="3"/>
      <c r="O46" s="3"/>
      <c r="P46" s="20" t="s">
        <v>175</v>
      </c>
      <c r="Q46" s="18">
        <v>3</v>
      </c>
      <c r="R46" s="3"/>
      <c r="S46" s="3"/>
      <c r="T46" s="3"/>
      <c r="U46" s="3"/>
      <c r="V46" s="3"/>
      <c r="W46" s="3"/>
      <c r="X46" s="3"/>
      <c r="Y46" s="3"/>
      <c r="Z46" s="3"/>
    </row>
    <row r="47" spans="1:26" ht="15.75" customHeight="1" x14ac:dyDescent="0.3">
      <c r="A47" s="3"/>
      <c r="B47" s="3"/>
      <c r="C47" s="3"/>
      <c r="D47" s="3"/>
      <c r="E47" s="3"/>
      <c r="F47" s="3"/>
      <c r="G47" s="3"/>
      <c r="H47" s="3"/>
      <c r="I47" s="3"/>
      <c r="J47" s="3"/>
      <c r="K47" s="3"/>
      <c r="L47" s="3"/>
      <c r="M47" s="3"/>
      <c r="N47" s="3"/>
      <c r="O47" s="3"/>
      <c r="P47" s="20" t="s">
        <v>176</v>
      </c>
      <c r="Q47" s="35">
        <f ca="1">AVERAGE(OFFSET($E$1,COUNT($E$2:$E$1000)-$Q$46+1,0,$Q$46,1))</f>
        <v>34183.333333333336</v>
      </c>
      <c r="R47" s="3"/>
      <c r="S47" s="3"/>
      <c r="T47" s="3"/>
      <c r="U47" s="3"/>
      <c r="V47" s="3"/>
      <c r="W47" s="3"/>
      <c r="X47" s="3"/>
      <c r="Y47" s="3"/>
      <c r="Z47" s="3"/>
    </row>
    <row r="48" spans="1:26" ht="15.75" customHeight="1" x14ac:dyDescent="0.3">
      <c r="A48" s="3"/>
      <c r="B48" s="3"/>
      <c r="C48" s="3"/>
      <c r="D48" s="3"/>
      <c r="E48" s="3"/>
      <c r="F48" s="3"/>
      <c r="G48" s="3"/>
      <c r="H48" s="3"/>
      <c r="I48" s="3"/>
      <c r="J48" s="3"/>
      <c r="K48" s="3"/>
      <c r="L48" s="3"/>
      <c r="M48" s="3"/>
      <c r="N48" s="3"/>
      <c r="O48" s="3"/>
      <c r="P48" s="20" t="s">
        <v>177</v>
      </c>
      <c r="Q48" s="33">
        <f ca="1">SUM(OFFSET($E$1,COUNT($E$2:$E$1000)-$Q$46+1,0,$Q$46,1))</f>
        <v>102550</v>
      </c>
      <c r="R48" s="3"/>
      <c r="S48" s="3"/>
      <c r="T48" s="3"/>
      <c r="U48" s="3"/>
      <c r="V48" s="3"/>
      <c r="W48" s="3"/>
      <c r="X48" s="3"/>
      <c r="Y48" s="3"/>
      <c r="Z48" s="3"/>
    </row>
    <row r="49" spans="1:26"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3"/>
      <c r="I50" s="3"/>
      <c r="J50" s="3"/>
      <c r="K50" s="3"/>
      <c r="L50" s="3"/>
      <c r="M50" s="3"/>
      <c r="N50" s="3"/>
      <c r="O50" s="3"/>
      <c r="P50" s="19" t="s">
        <v>178</v>
      </c>
      <c r="Q50" s="10"/>
      <c r="R50" s="3"/>
      <c r="S50" s="3"/>
      <c r="T50" s="3"/>
      <c r="U50" s="3"/>
      <c r="V50" s="3"/>
      <c r="W50" s="3"/>
      <c r="X50" s="3"/>
      <c r="Y50" s="3"/>
      <c r="Z50" s="3"/>
    </row>
    <row r="51" spans="1:26" ht="15.75" customHeight="1" x14ac:dyDescent="0.3">
      <c r="A51" s="3"/>
      <c r="B51" s="3"/>
      <c r="C51" s="3"/>
      <c r="D51" s="3"/>
      <c r="E51" s="3"/>
      <c r="F51" s="3"/>
      <c r="G51" s="3"/>
      <c r="H51" s="3"/>
      <c r="I51" s="3"/>
      <c r="J51" s="3"/>
      <c r="K51" s="3"/>
      <c r="L51" s="3"/>
      <c r="M51" s="3"/>
      <c r="N51" s="3"/>
      <c r="O51" s="3"/>
      <c r="P51" s="20" t="s">
        <v>179</v>
      </c>
      <c r="Q51" s="33">
        <f>SUM($E$2:$E$1000)</f>
        <v>507725</v>
      </c>
      <c r="R51" s="3"/>
      <c r="S51" s="3"/>
      <c r="T51" s="3"/>
      <c r="U51" s="3"/>
      <c r="V51" s="3"/>
      <c r="W51" s="3"/>
      <c r="X51" s="3"/>
      <c r="Y51" s="3"/>
      <c r="Z51" s="3"/>
    </row>
    <row r="52" spans="1:26" ht="15.75" customHeight="1" x14ac:dyDescent="0.3">
      <c r="A52" s="3"/>
      <c r="B52" s="3"/>
      <c r="C52" s="3"/>
      <c r="D52" s="3"/>
      <c r="E52" s="3"/>
      <c r="F52" s="3"/>
      <c r="G52" s="3"/>
      <c r="H52" s="3"/>
      <c r="I52" s="3"/>
      <c r="J52" s="3"/>
      <c r="K52" s="3"/>
      <c r="L52" s="3"/>
      <c r="M52" s="3"/>
      <c r="N52" s="3"/>
      <c r="O52" s="3"/>
      <c r="P52" s="20" t="s">
        <v>180</v>
      </c>
      <c r="Q52" s="35">
        <f>SUM($I$2:$I$1000)</f>
        <v>46795.25</v>
      </c>
      <c r="R52" s="3"/>
      <c r="S52" s="3"/>
      <c r="T52" s="3"/>
      <c r="U52" s="3"/>
      <c r="V52" s="3"/>
      <c r="W52" s="3"/>
      <c r="X52" s="3"/>
      <c r="Y52" s="3"/>
      <c r="Z52" s="3"/>
    </row>
    <row r="53" spans="1:26" ht="15.75" customHeight="1" x14ac:dyDescent="0.3">
      <c r="A53" s="3"/>
      <c r="B53" s="3"/>
      <c r="C53" s="3"/>
      <c r="D53" s="3"/>
      <c r="E53" s="3"/>
      <c r="F53" s="3"/>
      <c r="G53" s="3"/>
      <c r="H53" s="3"/>
      <c r="I53" s="3"/>
      <c r="J53" s="3"/>
      <c r="K53" s="3"/>
      <c r="L53" s="3"/>
      <c r="M53" s="3"/>
      <c r="N53" s="3"/>
      <c r="O53" s="3"/>
      <c r="P53" s="20" t="s">
        <v>181</v>
      </c>
      <c r="Q53" s="35">
        <f>SUM($J$2:$J$1000)</f>
        <v>460929.75</v>
      </c>
      <c r="R53" s="3"/>
      <c r="S53" s="3"/>
      <c r="T53" s="3"/>
      <c r="U53" s="3"/>
      <c r="V53" s="3"/>
      <c r="W53" s="3"/>
      <c r="X53" s="3"/>
      <c r="Y53" s="3"/>
      <c r="Z53" s="3"/>
    </row>
    <row r="54" spans="1:26"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N22" xr:uid="{00000000-0009-0000-0000-000002000000}"/>
  <conditionalFormatting sqref="G2:G21">
    <cfRule type="cellIs" dxfId="1" priority="1" operator="equal">
      <formula>"Eligible"</formula>
    </cfRule>
  </conditionalFormatting>
  <dataValidations count="3">
    <dataValidation type="list" sqref="Q23" xr:uid="{00000000-0002-0000-0200-000000000000}">
      <formula1>$P$16:$P$20</formula1>
    </dataValidation>
    <dataValidation type="list" sqref="Q27" xr:uid="{00000000-0002-0000-0200-000001000000}">
      <formula1>"North,South,East,West"</formula1>
    </dataValidation>
    <dataValidation type="list" sqref="Q28 Q40" xr:uid="{00000000-0002-0000-0200-000002000000}">
      <formula1>$Q$16:$Q$20</formula1>
    </dataValidation>
  </dataValidations>
  <pageMargins left="0.75" right="0.75" top="1" bottom="1"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597"/>
    <pageSetUpPr fitToPage="1"/>
  </sheetPr>
  <dimension ref="A1:Y1000"/>
  <sheetViews>
    <sheetView zoomScale="62" zoomScaleNormal="62" workbookViewId="0">
      <pane xSplit="1" ySplit="1" topLeftCell="B2" activePane="bottomRight" state="frozen"/>
      <selection pane="topRight"/>
      <selection pane="bottomLeft"/>
      <selection pane="bottomRight" activeCell="P34" sqref="P34"/>
    </sheetView>
  </sheetViews>
  <sheetFormatPr defaultColWidth="14.44140625" defaultRowHeight="15" customHeight="1" x14ac:dyDescent="0.3"/>
  <cols>
    <col min="1" max="1" width="12" customWidth="1"/>
    <col min="2" max="2" width="14" customWidth="1"/>
    <col min="3" max="3" width="13" customWidth="1"/>
    <col min="4" max="4" width="12" customWidth="1"/>
    <col min="5" max="5" width="14" customWidth="1"/>
    <col min="6" max="6" width="15" customWidth="1"/>
    <col min="7" max="9" width="10" customWidth="1"/>
    <col min="10" max="11" width="11" customWidth="1"/>
    <col min="12" max="12" width="14" customWidth="1"/>
    <col min="13" max="13" width="3" customWidth="1"/>
    <col min="14" max="14" width="40" customWidth="1"/>
    <col min="15" max="15" width="20.6640625" customWidth="1"/>
    <col min="16" max="17" width="14" customWidth="1"/>
    <col min="18" max="25" width="15" customWidth="1"/>
  </cols>
  <sheetData>
    <row r="1" spans="1:25" ht="31.95" customHeight="1" x14ac:dyDescent="0.3">
      <c r="A1" s="7" t="s">
        <v>182</v>
      </c>
      <c r="B1" s="7" t="s">
        <v>42</v>
      </c>
      <c r="C1" s="7" t="s">
        <v>183</v>
      </c>
      <c r="D1" s="7" t="s">
        <v>184</v>
      </c>
      <c r="E1" s="7" t="s">
        <v>185</v>
      </c>
      <c r="F1" s="8" t="s">
        <v>186</v>
      </c>
      <c r="G1" s="8" t="s">
        <v>187</v>
      </c>
      <c r="H1" s="8" t="s">
        <v>188</v>
      </c>
      <c r="I1" s="8" t="s">
        <v>189</v>
      </c>
      <c r="J1" s="8" t="s">
        <v>190</v>
      </c>
      <c r="K1" s="8" t="s">
        <v>191</v>
      </c>
      <c r="L1" s="8" t="s">
        <v>192</v>
      </c>
      <c r="M1" s="3"/>
      <c r="N1" s="19" t="s">
        <v>193</v>
      </c>
      <c r="O1" s="10"/>
      <c r="P1" s="3"/>
      <c r="Q1" s="3"/>
      <c r="R1" s="3"/>
      <c r="S1" s="3"/>
      <c r="T1" s="3"/>
      <c r="U1" s="3"/>
      <c r="V1" s="3"/>
      <c r="W1" s="3"/>
      <c r="X1" s="3"/>
      <c r="Y1" s="3"/>
    </row>
    <row r="2" spans="1:25" ht="14.4" x14ac:dyDescent="0.3">
      <c r="A2" s="11">
        <v>3001</v>
      </c>
      <c r="B2" s="12" t="s">
        <v>194</v>
      </c>
      <c r="C2" s="12" t="s">
        <v>195</v>
      </c>
      <c r="D2" s="25">
        <v>86766</v>
      </c>
      <c r="E2" s="39">
        <v>42005</v>
      </c>
      <c r="F2" s="40">
        <v>31575</v>
      </c>
      <c r="G2" s="24">
        <f t="shared" ref="G2:G21" ca="1" si="0">DATEDIF(F2,$O$3,"Y")</f>
        <v>40</v>
      </c>
      <c r="H2" s="24">
        <f t="shared" ref="H2:H21" si="1">YEAR(E2)</f>
        <v>2015</v>
      </c>
      <c r="I2" s="14" t="str">
        <f t="shared" ref="I2:I21" si="2">TEXT(E2,"mmm")</f>
        <v>Jan</v>
      </c>
      <c r="J2" s="14" t="str">
        <f t="shared" ref="J2:J21" ca="1" si="3">IF(E2&gt;$O$3,"Upcoming","Active")</f>
        <v>Active</v>
      </c>
      <c r="K2" s="24">
        <f t="shared" ref="K2:K21" ca="1" si="4">IF(E2&gt;$O$3,"-",DATEDIF(E2,$O$3,"Y"))</f>
        <v>11</v>
      </c>
      <c r="L2" s="36">
        <f t="shared" ref="L2:L21" ca="1" si="5">IF(E2&gt;$O$3,"-",$O$3-E2)</f>
        <v>4291</v>
      </c>
      <c r="M2" s="3"/>
      <c r="N2" s="3"/>
      <c r="O2" s="3"/>
      <c r="P2" s="3"/>
      <c r="Q2" s="3"/>
      <c r="R2" s="3"/>
      <c r="S2" s="3"/>
      <c r="T2" s="3"/>
      <c r="U2" s="3"/>
      <c r="V2" s="3"/>
      <c r="W2" s="3"/>
      <c r="X2" s="3"/>
      <c r="Y2" s="3"/>
    </row>
    <row r="3" spans="1:25" ht="14.4" x14ac:dyDescent="0.3">
      <c r="A3" s="11">
        <v>3002</v>
      </c>
      <c r="B3" s="12" t="s">
        <v>196</v>
      </c>
      <c r="C3" s="12" t="s">
        <v>195</v>
      </c>
      <c r="D3" s="25">
        <v>31943</v>
      </c>
      <c r="E3" s="39">
        <v>42255</v>
      </c>
      <c r="F3" s="40">
        <v>29182</v>
      </c>
      <c r="G3" s="24">
        <f t="shared" ca="1" si="0"/>
        <v>46</v>
      </c>
      <c r="H3" s="24">
        <f t="shared" si="1"/>
        <v>2015</v>
      </c>
      <c r="I3" s="14" t="str">
        <f t="shared" si="2"/>
        <v>Sep</v>
      </c>
      <c r="J3" s="14" t="str">
        <f t="shared" ca="1" si="3"/>
        <v>Active</v>
      </c>
      <c r="K3" s="24">
        <f t="shared" ca="1" si="4"/>
        <v>11</v>
      </c>
      <c r="L3" s="36">
        <f t="shared" ca="1" si="5"/>
        <v>4041</v>
      </c>
      <c r="M3" s="3"/>
      <c r="N3" s="20" t="s">
        <v>197</v>
      </c>
      <c r="O3" s="41">
        <f ca="1">TODAY()</f>
        <v>46296</v>
      </c>
      <c r="P3" s="3"/>
      <c r="Q3" s="3"/>
      <c r="R3" s="3"/>
      <c r="S3" s="3"/>
      <c r="T3" s="3"/>
      <c r="U3" s="3"/>
      <c r="V3" s="3"/>
      <c r="W3" s="3"/>
      <c r="X3" s="3"/>
      <c r="Y3" s="3"/>
    </row>
    <row r="4" spans="1:25" ht="14.4" x14ac:dyDescent="0.3">
      <c r="A4" s="11">
        <v>3003</v>
      </c>
      <c r="B4" s="12" t="s">
        <v>198</v>
      </c>
      <c r="C4" s="12" t="s">
        <v>199</v>
      </c>
      <c r="D4" s="25">
        <v>63374</v>
      </c>
      <c r="E4" s="39">
        <v>42505</v>
      </c>
      <c r="F4" s="40">
        <v>32604</v>
      </c>
      <c r="G4" s="24">
        <f t="shared" ca="1" si="0"/>
        <v>37</v>
      </c>
      <c r="H4" s="24">
        <f t="shared" si="1"/>
        <v>2016</v>
      </c>
      <c r="I4" s="14" t="str">
        <f t="shared" si="2"/>
        <v>May</v>
      </c>
      <c r="J4" s="14" t="str">
        <f t="shared" ca="1" si="3"/>
        <v>Active</v>
      </c>
      <c r="K4" s="24">
        <f t="shared" ca="1" si="4"/>
        <v>10</v>
      </c>
      <c r="L4" s="36">
        <f t="shared" ca="1" si="5"/>
        <v>3791</v>
      </c>
      <c r="M4" s="3"/>
      <c r="N4" s="3"/>
      <c r="O4" s="3"/>
      <c r="P4" s="3"/>
      <c r="Q4" s="3"/>
      <c r="R4" s="3"/>
      <c r="S4" s="3"/>
      <c r="T4" s="3"/>
      <c r="U4" s="3"/>
      <c r="V4" s="3"/>
      <c r="W4" s="3"/>
      <c r="X4" s="3"/>
      <c r="Y4" s="3"/>
    </row>
    <row r="5" spans="1:25" ht="14.4" x14ac:dyDescent="0.3">
      <c r="A5" s="11">
        <v>3004</v>
      </c>
      <c r="B5" s="12" t="s">
        <v>200</v>
      </c>
      <c r="C5" s="12" t="s">
        <v>195</v>
      </c>
      <c r="D5" s="25">
        <v>109972</v>
      </c>
      <c r="E5" s="39">
        <v>42755</v>
      </c>
      <c r="F5" s="40">
        <v>30576</v>
      </c>
      <c r="G5" s="24">
        <f t="shared" ca="1" si="0"/>
        <v>43</v>
      </c>
      <c r="H5" s="24">
        <f t="shared" si="1"/>
        <v>2017</v>
      </c>
      <c r="I5" s="14" t="str">
        <f t="shared" si="2"/>
        <v>Jan</v>
      </c>
      <c r="J5" s="14" t="str">
        <f t="shared" ca="1" si="3"/>
        <v>Active</v>
      </c>
      <c r="K5" s="24">
        <f t="shared" ca="1" si="4"/>
        <v>9</v>
      </c>
      <c r="L5" s="36">
        <f t="shared" ca="1" si="5"/>
        <v>3541</v>
      </c>
      <c r="M5" s="3"/>
      <c r="N5" s="19" t="s">
        <v>201</v>
      </c>
      <c r="O5" s="10"/>
      <c r="P5" s="3"/>
      <c r="Q5" s="3"/>
      <c r="R5" s="3"/>
      <c r="S5" s="3"/>
      <c r="T5" s="3"/>
      <c r="U5" s="3"/>
      <c r="V5" s="3"/>
      <c r="W5" s="3"/>
      <c r="X5" s="3"/>
      <c r="Y5" s="3"/>
    </row>
    <row r="6" spans="1:25" ht="14.4" x14ac:dyDescent="0.3">
      <c r="A6" s="11">
        <v>3005</v>
      </c>
      <c r="B6" s="12" t="s">
        <v>202</v>
      </c>
      <c r="C6" s="12" t="s">
        <v>203</v>
      </c>
      <c r="D6" s="25">
        <v>54149</v>
      </c>
      <c r="E6" s="39">
        <v>43005</v>
      </c>
      <c r="F6" s="40">
        <v>33662</v>
      </c>
      <c r="G6" s="24">
        <f t="shared" ca="1" si="0"/>
        <v>34</v>
      </c>
      <c r="H6" s="24">
        <f t="shared" si="1"/>
        <v>2017</v>
      </c>
      <c r="I6" s="14" t="str">
        <f t="shared" si="2"/>
        <v>Sep</v>
      </c>
      <c r="J6" s="14" t="str">
        <f t="shared" ca="1" si="3"/>
        <v>Active</v>
      </c>
      <c r="K6" s="24">
        <f t="shared" ca="1" si="4"/>
        <v>9</v>
      </c>
      <c r="L6" s="36">
        <f t="shared" ca="1" si="5"/>
        <v>3291</v>
      </c>
      <c r="M6" s="3"/>
      <c r="N6" s="20" t="s">
        <v>204</v>
      </c>
      <c r="O6" s="18">
        <v>3005</v>
      </c>
      <c r="P6" s="3"/>
      <c r="Q6" s="3"/>
      <c r="R6" s="3"/>
      <c r="S6" s="3"/>
      <c r="T6" s="3"/>
      <c r="U6" s="3"/>
      <c r="V6" s="3"/>
      <c r="W6" s="3"/>
      <c r="X6" s="3"/>
      <c r="Y6" s="3"/>
    </row>
    <row r="7" spans="1:25" ht="14.4" x14ac:dyDescent="0.3">
      <c r="A7" s="11">
        <v>3006</v>
      </c>
      <c r="B7" s="12" t="s">
        <v>205</v>
      </c>
      <c r="C7" s="12" t="s">
        <v>203</v>
      </c>
      <c r="D7" s="25">
        <v>78689</v>
      </c>
      <c r="E7" s="39">
        <v>43255</v>
      </c>
      <c r="F7" s="40">
        <v>31604</v>
      </c>
      <c r="G7" s="24">
        <f t="shared" ca="1" si="0"/>
        <v>40</v>
      </c>
      <c r="H7" s="24">
        <f t="shared" si="1"/>
        <v>2018</v>
      </c>
      <c r="I7" s="14" t="str">
        <f t="shared" si="2"/>
        <v>Jun</v>
      </c>
      <c r="J7" s="14" t="str">
        <f t="shared" ca="1" si="3"/>
        <v>Active</v>
      </c>
      <c r="K7" s="24">
        <f t="shared" ca="1" si="4"/>
        <v>8</v>
      </c>
      <c r="L7" s="36">
        <f t="shared" ca="1" si="5"/>
        <v>3041</v>
      </c>
      <c r="M7" s="3"/>
      <c r="N7" s="20" t="s">
        <v>206</v>
      </c>
      <c r="O7" s="23" t="str">
        <f>_xlfn.XLOOKUP($O$6,$A$2:$A$1000,$B$2:$B$1000,"Not found")</f>
        <v>Employee 5</v>
      </c>
      <c r="P7" s="3"/>
      <c r="Q7" s="3"/>
      <c r="R7" s="3"/>
      <c r="S7" s="3"/>
      <c r="T7" s="3"/>
      <c r="U7" s="3"/>
      <c r="V7" s="3"/>
      <c r="W7" s="3"/>
      <c r="X7" s="3"/>
      <c r="Y7" s="3"/>
    </row>
    <row r="8" spans="1:25" ht="14.4" x14ac:dyDescent="0.3">
      <c r="A8" s="11">
        <v>3007</v>
      </c>
      <c r="B8" s="12" t="s">
        <v>207</v>
      </c>
      <c r="C8" s="12" t="s">
        <v>208</v>
      </c>
      <c r="D8" s="25">
        <v>35960</v>
      </c>
      <c r="E8" s="39">
        <v>43505</v>
      </c>
      <c r="F8" s="40">
        <v>35421</v>
      </c>
      <c r="G8" s="24">
        <f t="shared" ca="1" si="0"/>
        <v>29</v>
      </c>
      <c r="H8" s="24">
        <f t="shared" si="1"/>
        <v>2019</v>
      </c>
      <c r="I8" s="14" t="str">
        <f t="shared" si="2"/>
        <v>Feb</v>
      </c>
      <c r="J8" s="14" t="str">
        <f t="shared" ca="1" si="3"/>
        <v>Active</v>
      </c>
      <c r="K8" s="24">
        <f t="shared" ca="1" si="4"/>
        <v>7</v>
      </c>
      <c r="L8" s="36">
        <f t="shared" ca="1" si="5"/>
        <v>2791</v>
      </c>
      <c r="M8" s="3"/>
      <c r="N8" s="20" t="s">
        <v>209</v>
      </c>
      <c r="O8" s="23" t="str">
        <f>_xlfn.XLOOKUP($O$6,$A$2:$A$1000,$C$2:$C$1000,"Not found")</f>
        <v>IT</v>
      </c>
      <c r="P8" s="3"/>
      <c r="Q8" s="3"/>
      <c r="R8" s="3"/>
      <c r="S8" s="3"/>
      <c r="T8" s="3"/>
      <c r="U8" s="3"/>
      <c r="V8" s="3"/>
      <c r="W8" s="3"/>
      <c r="X8" s="3"/>
      <c r="Y8" s="3"/>
    </row>
    <row r="9" spans="1:25" ht="14.4" x14ac:dyDescent="0.3">
      <c r="A9" s="11">
        <v>3008</v>
      </c>
      <c r="B9" s="12" t="s">
        <v>210</v>
      </c>
      <c r="C9" s="12" t="s">
        <v>203</v>
      </c>
      <c r="D9" s="25">
        <v>91659</v>
      </c>
      <c r="E9" s="39">
        <v>43755</v>
      </c>
      <c r="F9" s="40">
        <v>32633</v>
      </c>
      <c r="G9" s="24">
        <f t="shared" ca="1" si="0"/>
        <v>37</v>
      </c>
      <c r="H9" s="24">
        <f t="shared" si="1"/>
        <v>2019</v>
      </c>
      <c r="I9" s="14" t="str">
        <f t="shared" si="2"/>
        <v>Oct</v>
      </c>
      <c r="J9" s="14" t="str">
        <f t="shared" ca="1" si="3"/>
        <v>Active</v>
      </c>
      <c r="K9" s="24">
        <f t="shared" ca="1" si="4"/>
        <v>6</v>
      </c>
      <c r="L9" s="36">
        <f t="shared" ca="1" si="5"/>
        <v>2541</v>
      </c>
      <c r="M9" s="3"/>
      <c r="N9" s="20" t="s">
        <v>211</v>
      </c>
      <c r="O9" s="33">
        <f>_xlfn.XLOOKUP($O$6,$A$2:$A$1000,$D$2:$D$1000,"Not found")</f>
        <v>54149</v>
      </c>
      <c r="P9" s="3"/>
      <c r="Q9" s="3"/>
      <c r="R9" s="3"/>
      <c r="S9" s="3"/>
      <c r="T9" s="3"/>
      <c r="U9" s="3"/>
      <c r="V9" s="3"/>
      <c r="W9" s="3"/>
      <c r="X9" s="3"/>
      <c r="Y9" s="3"/>
    </row>
    <row r="10" spans="1:25" ht="14.4" x14ac:dyDescent="0.3">
      <c r="A10" s="11">
        <v>3009</v>
      </c>
      <c r="B10" s="12" t="s">
        <v>212</v>
      </c>
      <c r="C10" s="12" t="s">
        <v>203</v>
      </c>
      <c r="D10" s="25">
        <v>90423</v>
      </c>
      <c r="E10" s="39">
        <v>44005</v>
      </c>
      <c r="F10" s="40">
        <v>30605</v>
      </c>
      <c r="G10" s="24">
        <f t="shared" ca="1" si="0"/>
        <v>42</v>
      </c>
      <c r="H10" s="24">
        <f t="shared" si="1"/>
        <v>2020</v>
      </c>
      <c r="I10" s="14" t="str">
        <f t="shared" si="2"/>
        <v>Jun</v>
      </c>
      <c r="J10" s="14" t="str">
        <f t="shared" ca="1" si="3"/>
        <v>Active</v>
      </c>
      <c r="K10" s="24">
        <f t="shared" ca="1" si="4"/>
        <v>6</v>
      </c>
      <c r="L10" s="36">
        <f t="shared" ca="1" si="5"/>
        <v>2291</v>
      </c>
      <c r="M10" s="3"/>
      <c r="N10" s="20" t="s">
        <v>213</v>
      </c>
      <c r="O10" s="41">
        <f>_xlfn.XLOOKUP($O$6,$A$2:$A$1000,$E$2:$E$1000,"Not found")</f>
        <v>43005</v>
      </c>
      <c r="P10" s="3"/>
      <c r="Q10" s="3"/>
      <c r="R10" s="3"/>
      <c r="S10" s="3"/>
      <c r="T10" s="3"/>
      <c r="U10" s="3"/>
      <c r="V10" s="3"/>
      <c r="W10" s="3"/>
      <c r="X10" s="3"/>
      <c r="Y10" s="3"/>
    </row>
    <row r="11" spans="1:25" ht="14.4" x14ac:dyDescent="0.3">
      <c r="A11" s="11">
        <v>3010</v>
      </c>
      <c r="B11" s="12" t="s">
        <v>214</v>
      </c>
      <c r="C11" s="12" t="s">
        <v>199</v>
      </c>
      <c r="D11" s="25">
        <v>107877</v>
      </c>
      <c r="E11" s="39">
        <v>44255</v>
      </c>
      <c r="F11" s="40">
        <v>34055</v>
      </c>
      <c r="G11" s="24">
        <f t="shared" ca="1" si="0"/>
        <v>33</v>
      </c>
      <c r="H11" s="24">
        <f t="shared" si="1"/>
        <v>2021</v>
      </c>
      <c r="I11" s="14" t="str">
        <f t="shared" si="2"/>
        <v>Feb</v>
      </c>
      <c r="J11" s="14" t="str">
        <f t="shared" ca="1" si="3"/>
        <v>Active</v>
      </c>
      <c r="K11" s="24">
        <f t="shared" ca="1" si="4"/>
        <v>5</v>
      </c>
      <c r="L11" s="36">
        <f t="shared" ca="1" si="5"/>
        <v>2041</v>
      </c>
      <c r="M11" s="3"/>
      <c r="N11" s="3"/>
      <c r="O11" s="3"/>
      <c r="P11" s="3"/>
      <c r="Q11" s="3"/>
      <c r="R11" s="3"/>
      <c r="S11" s="3"/>
      <c r="T11" s="3"/>
      <c r="U11" s="3"/>
      <c r="V11" s="3"/>
      <c r="W11" s="3"/>
      <c r="X11" s="3"/>
      <c r="Y11" s="3"/>
    </row>
    <row r="12" spans="1:25" ht="14.4" x14ac:dyDescent="0.3">
      <c r="A12" s="11">
        <v>3011</v>
      </c>
      <c r="B12" s="12" t="s">
        <v>215</v>
      </c>
      <c r="C12" s="12" t="s">
        <v>195</v>
      </c>
      <c r="D12" s="25">
        <v>107634</v>
      </c>
      <c r="E12" s="39">
        <v>44505</v>
      </c>
      <c r="F12" s="40">
        <v>31634</v>
      </c>
      <c r="G12" s="24">
        <f t="shared" ca="1" si="0"/>
        <v>40</v>
      </c>
      <c r="H12" s="24">
        <f t="shared" si="1"/>
        <v>2021</v>
      </c>
      <c r="I12" s="14" t="str">
        <f t="shared" si="2"/>
        <v>Nov</v>
      </c>
      <c r="J12" s="14" t="str">
        <f t="shared" ca="1" si="3"/>
        <v>Active</v>
      </c>
      <c r="K12" s="24">
        <f t="shared" ca="1" si="4"/>
        <v>4</v>
      </c>
      <c r="L12" s="36">
        <f t="shared" ca="1" si="5"/>
        <v>1791</v>
      </c>
      <c r="M12" s="3"/>
      <c r="N12" s="19" t="s">
        <v>216</v>
      </c>
      <c r="O12" s="10"/>
      <c r="P12" s="3"/>
      <c r="Q12" s="3"/>
      <c r="R12" s="3"/>
      <c r="S12" s="3"/>
      <c r="T12" s="3"/>
      <c r="U12" s="3"/>
      <c r="V12" s="3"/>
      <c r="W12" s="3"/>
      <c r="X12" s="3"/>
      <c r="Y12" s="3"/>
    </row>
    <row r="13" spans="1:25" ht="14.4" x14ac:dyDescent="0.3">
      <c r="A13" s="11">
        <v>3012</v>
      </c>
      <c r="B13" s="12" t="s">
        <v>217</v>
      </c>
      <c r="C13" s="12" t="s">
        <v>195</v>
      </c>
      <c r="D13" s="25">
        <v>35226</v>
      </c>
      <c r="E13" s="39">
        <v>44755</v>
      </c>
      <c r="F13" s="40">
        <v>35085</v>
      </c>
      <c r="G13" s="24">
        <f t="shared" ca="1" si="0"/>
        <v>30</v>
      </c>
      <c r="H13" s="24">
        <f t="shared" si="1"/>
        <v>2022</v>
      </c>
      <c r="I13" s="14" t="str">
        <f t="shared" si="2"/>
        <v>Jul</v>
      </c>
      <c r="J13" s="14" t="str">
        <f t="shared" ca="1" si="3"/>
        <v>Active</v>
      </c>
      <c r="K13" s="24">
        <f t="shared" ca="1" si="4"/>
        <v>4</v>
      </c>
      <c r="L13" s="36">
        <f t="shared" ca="1" si="5"/>
        <v>1541</v>
      </c>
      <c r="M13" s="3"/>
      <c r="N13" s="20" t="s">
        <v>218</v>
      </c>
      <c r="O13" s="31" t="s">
        <v>207</v>
      </c>
      <c r="P13" s="3"/>
      <c r="Q13" s="3"/>
      <c r="R13" s="3"/>
      <c r="S13" s="3"/>
      <c r="T13" s="3"/>
      <c r="U13" s="3"/>
      <c r="V13" s="3"/>
      <c r="W13" s="3"/>
      <c r="X13" s="3"/>
      <c r="Y13" s="3"/>
    </row>
    <row r="14" spans="1:25" ht="14.4" x14ac:dyDescent="0.3">
      <c r="A14" s="11">
        <v>3013</v>
      </c>
      <c r="B14" s="12" t="s">
        <v>219</v>
      </c>
      <c r="C14" s="12" t="s">
        <v>199</v>
      </c>
      <c r="D14" s="25">
        <v>40872</v>
      </c>
      <c r="E14" s="39">
        <v>45005</v>
      </c>
      <c r="F14" s="40">
        <v>33028</v>
      </c>
      <c r="G14" s="24">
        <f t="shared" ca="1" si="0"/>
        <v>36</v>
      </c>
      <c r="H14" s="24">
        <f t="shared" si="1"/>
        <v>2023</v>
      </c>
      <c r="I14" s="14" t="str">
        <f t="shared" si="2"/>
        <v>Mar</v>
      </c>
      <c r="J14" s="14" t="str">
        <f t="shared" ca="1" si="3"/>
        <v>Active</v>
      </c>
      <c r="K14" s="24">
        <f t="shared" ca="1" si="4"/>
        <v>3</v>
      </c>
      <c r="L14" s="36">
        <f t="shared" ca="1" si="5"/>
        <v>1291</v>
      </c>
      <c r="M14" s="3"/>
      <c r="N14" s="20" t="s">
        <v>211</v>
      </c>
      <c r="O14" s="33">
        <f>_xlfn.XLOOKUP($O$13,$B$2:$B$1000,$D$2:$D$1000,"Not found")</f>
        <v>35960</v>
      </c>
      <c r="P14" s="3"/>
      <c r="Q14" s="3"/>
      <c r="R14" s="3"/>
      <c r="S14" s="3"/>
      <c r="T14" s="3"/>
      <c r="U14" s="3"/>
      <c r="V14" s="3"/>
      <c r="W14" s="3"/>
      <c r="X14" s="3"/>
      <c r="Y14" s="3"/>
    </row>
    <row r="15" spans="1:25" ht="14.4" x14ac:dyDescent="0.3">
      <c r="A15" s="11">
        <v>3014</v>
      </c>
      <c r="B15" s="12" t="s">
        <v>220</v>
      </c>
      <c r="C15" s="12" t="s">
        <v>199</v>
      </c>
      <c r="D15" s="25">
        <v>55378</v>
      </c>
      <c r="E15" s="39">
        <v>45255</v>
      </c>
      <c r="F15" s="40">
        <v>36479</v>
      </c>
      <c r="G15" s="24">
        <f t="shared" ca="1" si="0"/>
        <v>26</v>
      </c>
      <c r="H15" s="24">
        <f t="shared" si="1"/>
        <v>2023</v>
      </c>
      <c r="I15" s="14" t="str">
        <f t="shared" si="2"/>
        <v>Nov</v>
      </c>
      <c r="J15" s="14" t="str">
        <f t="shared" ca="1" si="3"/>
        <v>Active</v>
      </c>
      <c r="K15" s="24">
        <f t="shared" ca="1" si="4"/>
        <v>2</v>
      </c>
      <c r="L15" s="36">
        <f t="shared" ca="1" si="5"/>
        <v>1041</v>
      </c>
      <c r="M15" s="3"/>
      <c r="N15" s="3"/>
      <c r="O15" s="3"/>
      <c r="P15" s="3"/>
      <c r="Q15" s="3"/>
      <c r="R15" s="3"/>
      <c r="S15" s="3"/>
      <c r="T15" s="3"/>
      <c r="U15" s="3"/>
      <c r="V15" s="3"/>
      <c r="W15" s="3"/>
      <c r="X15" s="3"/>
      <c r="Y15" s="3"/>
    </row>
    <row r="16" spans="1:25" ht="14.4" x14ac:dyDescent="0.3">
      <c r="A16" s="11">
        <v>3015</v>
      </c>
      <c r="B16" s="12" t="s">
        <v>221</v>
      </c>
      <c r="C16" s="12" t="s">
        <v>199</v>
      </c>
      <c r="D16" s="25">
        <v>63297</v>
      </c>
      <c r="E16" s="39">
        <v>45505</v>
      </c>
      <c r="F16" s="40">
        <v>34085</v>
      </c>
      <c r="G16" s="24">
        <f t="shared" ca="1" si="0"/>
        <v>33</v>
      </c>
      <c r="H16" s="24">
        <f t="shared" si="1"/>
        <v>2024</v>
      </c>
      <c r="I16" s="14" t="str">
        <f t="shared" si="2"/>
        <v>Aug</v>
      </c>
      <c r="J16" s="14" t="str">
        <f t="shared" ca="1" si="3"/>
        <v>Active</v>
      </c>
      <c r="K16" s="24">
        <f t="shared" ca="1" si="4"/>
        <v>2</v>
      </c>
      <c r="L16" s="36">
        <f t="shared" ca="1" si="5"/>
        <v>791</v>
      </c>
      <c r="M16" s="3"/>
      <c r="N16" s="19" t="s">
        <v>222</v>
      </c>
      <c r="O16" s="10"/>
      <c r="P16" s="3"/>
      <c r="Q16" s="3"/>
      <c r="R16" s="3"/>
      <c r="S16" s="3"/>
      <c r="T16" s="3"/>
      <c r="U16" s="3"/>
      <c r="V16" s="3"/>
      <c r="W16" s="3"/>
      <c r="X16" s="3"/>
      <c r="Y16" s="3"/>
    </row>
    <row r="17" spans="1:25" ht="14.4" x14ac:dyDescent="0.3">
      <c r="A17" s="11">
        <v>3016</v>
      </c>
      <c r="B17" s="12" t="s">
        <v>223</v>
      </c>
      <c r="C17" s="12" t="s">
        <v>195</v>
      </c>
      <c r="D17" s="25">
        <v>114173</v>
      </c>
      <c r="E17" s="39">
        <v>45755</v>
      </c>
      <c r="F17" s="40">
        <v>37873</v>
      </c>
      <c r="G17" s="24">
        <f t="shared" ca="1" si="0"/>
        <v>23</v>
      </c>
      <c r="H17" s="24">
        <f t="shared" si="1"/>
        <v>2025</v>
      </c>
      <c r="I17" s="14" t="str">
        <f t="shared" si="2"/>
        <v>Apr</v>
      </c>
      <c r="J17" s="14" t="str">
        <f t="shared" ca="1" si="3"/>
        <v>Active</v>
      </c>
      <c r="K17" s="24">
        <f t="shared" ca="1" si="4"/>
        <v>1</v>
      </c>
      <c r="L17" s="36">
        <f t="shared" ca="1" si="5"/>
        <v>541</v>
      </c>
      <c r="M17" s="3"/>
      <c r="N17" s="20" t="s">
        <v>204</v>
      </c>
      <c r="O17" s="18">
        <v>3010</v>
      </c>
      <c r="P17" s="3"/>
      <c r="Q17" s="3"/>
      <c r="R17" s="3"/>
      <c r="S17" s="3"/>
      <c r="T17" s="3"/>
      <c r="U17" s="3"/>
      <c r="V17" s="3"/>
      <c r="W17" s="3"/>
      <c r="X17" s="3"/>
      <c r="Y17" s="3"/>
    </row>
    <row r="18" spans="1:25" ht="14.4" x14ac:dyDescent="0.3">
      <c r="A18" s="11">
        <v>3017</v>
      </c>
      <c r="B18" s="12" t="s">
        <v>224</v>
      </c>
      <c r="C18" s="12" t="s">
        <v>199</v>
      </c>
      <c r="D18" s="25">
        <v>86915</v>
      </c>
      <c r="E18" s="39">
        <v>46005</v>
      </c>
      <c r="F18" s="40">
        <v>35115</v>
      </c>
      <c r="G18" s="24">
        <f t="shared" ca="1" si="0"/>
        <v>30</v>
      </c>
      <c r="H18" s="24">
        <f t="shared" si="1"/>
        <v>2025</v>
      </c>
      <c r="I18" s="14" t="str">
        <f t="shared" si="2"/>
        <v>Dec</v>
      </c>
      <c r="J18" s="14" t="str">
        <f t="shared" ca="1" si="3"/>
        <v>Active</v>
      </c>
      <c r="K18" s="24">
        <f t="shared" ca="1" si="4"/>
        <v>0</v>
      </c>
      <c r="L18" s="36">
        <f t="shared" ca="1" si="5"/>
        <v>291</v>
      </c>
      <c r="M18" s="3"/>
      <c r="N18" s="20" t="s">
        <v>225</v>
      </c>
      <c r="O18" s="31" t="s">
        <v>183</v>
      </c>
      <c r="P18" s="3"/>
      <c r="Q18" s="3"/>
      <c r="R18" s="3"/>
      <c r="S18" s="3"/>
      <c r="T18" s="3"/>
      <c r="U18" s="3"/>
      <c r="V18" s="3"/>
      <c r="W18" s="3"/>
      <c r="X18" s="3"/>
      <c r="Y18" s="3"/>
    </row>
    <row r="19" spans="1:25" ht="14.4" x14ac:dyDescent="0.3">
      <c r="A19" s="11">
        <v>3018</v>
      </c>
      <c r="B19" s="12" t="s">
        <v>226</v>
      </c>
      <c r="C19" s="12" t="s">
        <v>203</v>
      </c>
      <c r="D19" s="25">
        <v>116284</v>
      </c>
      <c r="E19" s="39">
        <v>46255</v>
      </c>
      <c r="F19" s="40">
        <v>33057</v>
      </c>
      <c r="G19" s="24">
        <f t="shared" ca="1" si="0"/>
        <v>36</v>
      </c>
      <c r="H19" s="24">
        <f t="shared" si="1"/>
        <v>2026</v>
      </c>
      <c r="I19" s="14" t="str">
        <f t="shared" si="2"/>
        <v>Aug</v>
      </c>
      <c r="J19" s="14" t="str">
        <f t="shared" ca="1" si="3"/>
        <v>Active</v>
      </c>
      <c r="K19" s="24">
        <f t="shared" ca="1" si="4"/>
        <v>0</v>
      </c>
      <c r="L19" s="36">
        <f t="shared" ca="1" si="5"/>
        <v>41</v>
      </c>
      <c r="M19" s="3"/>
      <c r="N19" s="20" t="s">
        <v>227</v>
      </c>
      <c r="O19" s="33" t="str">
        <f>IFERROR(INDEX($A$2:$F$1000,MATCH($O$17,$A$2:$A$1000,0),MATCH($O$18,$A$1:$F$1,0)),"Not found")</f>
        <v>HR</v>
      </c>
      <c r="P19" s="3"/>
      <c r="Q19" s="3"/>
      <c r="R19" s="3"/>
      <c r="S19" s="3"/>
      <c r="T19" s="3"/>
      <c r="U19" s="3"/>
      <c r="V19" s="3"/>
      <c r="W19" s="3"/>
      <c r="X19" s="3"/>
      <c r="Y19" s="3"/>
    </row>
    <row r="20" spans="1:25" ht="14.4" x14ac:dyDescent="0.3">
      <c r="A20" s="11">
        <v>3019</v>
      </c>
      <c r="B20" s="12" t="s">
        <v>228</v>
      </c>
      <c r="C20" s="12" t="s">
        <v>208</v>
      </c>
      <c r="D20" s="25">
        <v>116283</v>
      </c>
      <c r="E20" s="39">
        <v>46505</v>
      </c>
      <c r="F20" s="40">
        <v>36874</v>
      </c>
      <c r="G20" s="24">
        <f t="shared" ca="1" si="0"/>
        <v>25</v>
      </c>
      <c r="H20" s="24">
        <f t="shared" si="1"/>
        <v>2027</v>
      </c>
      <c r="I20" s="14" t="str">
        <f t="shared" si="2"/>
        <v>Apr</v>
      </c>
      <c r="J20" s="14" t="str">
        <f t="shared" ca="1" si="3"/>
        <v>Upcoming</v>
      </c>
      <c r="K20" s="24" t="str">
        <f t="shared" ca="1" si="4"/>
        <v>-</v>
      </c>
      <c r="L20" s="36" t="str">
        <f t="shared" ca="1" si="5"/>
        <v>-</v>
      </c>
      <c r="M20" s="3"/>
      <c r="N20" s="3"/>
      <c r="O20" s="3"/>
      <c r="P20" s="3"/>
      <c r="Q20" s="3"/>
      <c r="R20" s="3"/>
      <c r="S20" s="3"/>
      <c r="T20" s="3"/>
      <c r="U20" s="3"/>
      <c r="V20" s="3"/>
      <c r="W20" s="3"/>
      <c r="X20" s="3"/>
      <c r="Y20" s="3"/>
    </row>
    <row r="21" spans="1:25" ht="15.75" customHeight="1" x14ac:dyDescent="0.3">
      <c r="A21" s="11">
        <v>3020</v>
      </c>
      <c r="B21" s="12" t="s">
        <v>229</v>
      </c>
      <c r="C21" s="12" t="s">
        <v>208</v>
      </c>
      <c r="D21" s="25">
        <v>99924</v>
      </c>
      <c r="E21" s="39">
        <v>46755</v>
      </c>
      <c r="F21" s="40">
        <v>34479</v>
      </c>
      <c r="G21" s="24">
        <f t="shared" ca="1" si="0"/>
        <v>32</v>
      </c>
      <c r="H21" s="24">
        <f t="shared" si="1"/>
        <v>2028</v>
      </c>
      <c r="I21" s="14" t="str">
        <f t="shared" si="2"/>
        <v>Jan</v>
      </c>
      <c r="J21" s="14" t="str">
        <f t="shared" ca="1" si="3"/>
        <v>Upcoming</v>
      </c>
      <c r="K21" s="24" t="str">
        <f t="shared" ca="1" si="4"/>
        <v>-</v>
      </c>
      <c r="L21" s="36" t="str">
        <f t="shared" ca="1" si="5"/>
        <v>-</v>
      </c>
      <c r="M21" s="3"/>
      <c r="N21" s="19" t="s">
        <v>230</v>
      </c>
      <c r="O21" s="10"/>
      <c r="P21" s="3"/>
      <c r="Q21" s="3"/>
      <c r="R21" s="3"/>
      <c r="S21" s="3"/>
      <c r="T21" s="3"/>
      <c r="U21" s="3"/>
      <c r="V21" s="3"/>
      <c r="W21" s="3"/>
      <c r="X21" s="3"/>
      <c r="Y21" s="3"/>
    </row>
    <row r="22" spans="1:25" ht="15.75" customHeight="1" x14ac:dyDescent="0.3">
      <c r="A22" s="3"/>
      <c r="B22" s="3"/>
      <c r="C22" s="3"/>
      <c r="D22" s="3"/>
      <c r="E22" s="3"/>
      <c r="F22" s="3"/>
      <c r="G22" s="3"/>
      <c r="H22" s="3"/>
      <c r="I22" s="3"/>
      <c r="J22" s="3"/>
      <c r="K22" s="3"/>
      <c r="L22" s="3"/>
      <c r="M22" s="3"/>
      <c r="N22" s="20" t="s">
        <v>231</v>
      </c>
      <c r="O22" s="21">
        <f ca="1">MIN($G$2:$G$1000)</f>
        <v>23</v>
      </c>
      <c r="P22" s="3"/>
      <c r="Q22" s="3"/>
      <c r="R22" s="3"/>
      <c r="S22" s="3"/>
      <c r="T22" s="3"/>
      <c r="U22" s="3"/>
      <c r="V22" s="3"/>
      <c r="W22" s="3"/>
      <c r="X22" s="3"/>
      <c r="Y22" s="3"/>
    </row>
    <row r="23" spans="1:25" ht="15.75" customHeight="1" x14ac:dyDescent="0.3">
      <c r="A23" s="3"/>
      <c r="B23" s="3"/>
      <c r="C23" s="3"/>
      <c r="D23" s="3"/>
      <c r="E23" s="3"/>
      <c r="F23" s="3"/>
      <c r="G23" s="3"/>
      <c r="H23" s="3"/>
      <c r="I23" s="3"/>
      <c r="J23" s="3"/>
      <c r="K23" s="3"/>
      <c r="L23" s="3"/>
      <c r="M23" s="3"/>
      <c r="N23" s="20" t="s">
        <v>232</v>
      </c>
      <c r="O23" s="21">
        <f ca="1">MAX($G$2:$G$1000)</f>
        <v>46</v>
      </c>
      <c r="P23" s="3"/>
      <c r="Q23" s="3"/>
      <c r="R23" s="3"/>
      <c r="S23" s="3"/>
      <c r="T23" s="3"/>
      <c r="U23" s="3"/>
      <c r="V23" s="3"/>
      <c r="W23" s="3"/>
      <c r="X23" s="3"/>
      <c r="Y23" s="3"/>
    </row>
    <row r="24" spans="1:25" ht="15.75" customHeight="1" x14ac:dyDescent="0.3">
      <c r="A24" s="3"/>
      <c r="B24" s="3"/>
      <c r="C24" s="3"/>
      <c r="D24" s="3"/>
      <c r="E24" s="3"/>
      <c r="F24" s="3"/>
      <c r="G24" s="3"/>
      <c r="H24" s="3"/>
      <c r="I24" s="3"/>
      <c r="J24" s="3"/>
      <c r="K24" s="3"/>
      <c r="L24" s="3"/>
      <c r="M24" s="3"/>
      <c r="N24" s="20" t="s">
        <v>233</v>
      </c>
      <c r="O24" s="22">
        <f ca="1">ROUND(AVERAGE($G$2:$G$1000),1)</f>
        <v>34.6</v>
      </c>
      <c r="P24" s="3"/>
      <c r="Q24" s="3"/>
      <c r="R24" s="3"/>
      <c r="S24" s="3"/>
      <c r="T24" s="3"/>
      <c r="U24" s="3"/>
      <c r="V24" s="3"/>
      <c r="W24" s="3"/>
      <c r="X24" s="3"/>
      <c r="Y24" s="3"/>
    </row>
    <row r="25" spans="1:25" ht="15.75" customHeight="1" x14ac:dyDescent="0.3">
      <c r="A25" s="3"/>
      <c r="B25" s="3"/>
      <c r="C25" s="3"/>
      <c r="D25" s="3"/>
      <c r="E25" s="3"/>
      <c r="F25" s="3"/>
      <c r="G25" s="3"/>
      <c r="H25" s="3"/>
      <c r="I25" s="3"/>
      <c r="J25" s="3"/>
      <c r="K25" s="3"/>
      <c r="L25" s="3"/>
      <c r="M25" s="3"/>
      <c r="N25" s="20" t="s">
        <v>234</v>
      </c>
      <c r="O25" s="41">
        <f>MIN($E$2:$E$1000)</f>
        <v>42005</v>
      </c>
      <c r="P25" s="3"/>
      <c r="Q25" s="3"/>
      <c r="R25" s="3"/>
      <c r="S25" s="3"/>
      <c r="T25" s="3"/>
      <c r="U25" s="3"/>
      <c r="V25" s="3"/>
      <c r="W25" s="3"/>
      <c r="X25" s="3"/>
      <c r="Y25" s="3"/>
    </row>
    <row r="26" spans="1:25" ht="15.75" customHeight="1" x14ac:dyDescent="0.3">
      <c r="A26" s="3"/>
      <c r="B26" s="3"/>
      <c r="C26" s="3"/>
      <c r="D26" s="3"/>
      <c r="E26" s="3"/>
      <c r="F26" s="3"/>
      <c r="G26" s="3"/>
      <c r="H26" s="3"/>
      <c r="I26" s="3"/>
      <c r="J26" s="3"/>
      <c r="K26" s="3"/>
      <c r="L26" s="3"/>
      <c r="M26" s="3"/>
      <c r="N26" s="20" t="s">
        <v>235</v>
      </c>
      <c r="O26" s="41">
        <f>MAX($E$2:$E$1000)</f>
        <v>46755</v>
      </c>
      <c r="P26" s="3"/>
      <c r="Q26" s="3"/>
      <c r="R26" s="3"/>
      <c r="S26" s="3"/>
      <c r="T26" s="3"/>
      <c r="U26" s="3"/>
      <c r="V26" s="3"/>
      <c r="W26" s="3"/>
      <c r="X26" s="3"/>
      <c r="Y26" s="3"/>
    </row>
    <row r="27" spans="1:25" ht="15.75" customHeight="1" x14ac:dyDescent="0.3">
      <c r="A27" s="3"/>
      <c r="B27" s="3"/>
      <c r="C27" s="3"/>
      <c r="D27" s="3"/>
      <c r="E27" s="3"/>
      <c r="F27" s="3"/>
      <c r="G27" s="3"/>
      <c r="H27" s="3"/>
      <c r="I27" s="3"/>
      <c r="J27" s="3"/>
      <c r="K27" s="3"/>
      <c r="L27" s="3"/>
      <c r="M27" s="3"/>
      <c r="N27" s="20" t="s">
        <v>236</v>
      </c>
      <c r="O27" s="33">
        <f>$O$26-$O$25</f>
        <v>4750</v>
      </c>
      <c r="P27" s="3"/>
      <c r="Q27" s="3"/>
      <c r="R27" s="3"/>
      <c r="S27" s="3"/>
      <c r="T27" s="3"/>
      <c r="U27" s="3"/>
      <c r="V27" s="3"/>
      <c r="W27" s="3"/>
      <c r="X27" s="3"/>
      <c r="Y27" s="3"/>
    </row>
    <row r="28" spans="1:25" ht="15.75" customHeight="1" x14ac:dyDescent="0.3">
      <c r="A28" s="3"/>
      <c r="B28" s="3"/>
      <c r="C28" s="3"/>
      <c r="D28" s="3"/>
      <c r="E28" s="3"/>
      <c r="F28" s="3"/>
      <c r="G28" s="3"/>
      <c r="H28" s="3"/>
      <c r="I28" s="3"/>
      <c r="J28" s="3"/>
      <c r="K28" s="3"/>
      <c r="L28" s="3"/>
      <c r="M28" s="3"/>
      <c r="N28" s="20" t="s">
        <v>237</v>
      </c>
      <c r="O28" s="21">
        <f ca="1">COUNTIFS($E$2:$E$1000,"&lt;="&amp;$O$3)</f>
        <v>18</v>
      </c>
      <c r="P28" s="3"/>
      <c r="Q28" s="3"/>
      <c r="R28" s="3"/>
      <c r="S28" s="3"/>
      <c r="T28" s="3"/>
      <c r="U28" s="3"/>
      <c r="V28" s="3"/>
      <c r="W28" s="3"/>
      <c r="X28" s="3"/>
      <c r="Y28" s="3"/>
    </row>
    <row r="29" spans="1:25" ht="15.75" customHeight="1" x14ac:dyDescent="0.3">
      <c r="A29" s="3"/>
      <c r="B29" s="3"/>
      <c r="C29" s="3"/>
      <c r="D29" s="3"/>
      <c r="E29" s="3"/>
      <c r="F29" s="3"/>
      <c r="G29" s="3"/>
      <c r="H29" s="3"/>
      <c r="I29" s="3"/>
      <c r="J29" s="3"/>
      <c r="K29" s="3"/>
      <c r="L29" s="3"/>
      <c r="M29" s="3"/>
      <c r="N29" s="20" t="s">
        <v>238</v>
      </c>
      <c r="O29" s="21">
        <f ca="1">COUNTIFS($E$2:$E$1000,"&gt;"&amp;$O$3)</f>
        <v>2</v>
      </c>
      <c r="P29" s="3"/>
      <c r="Q29" s="3"/>
      <c r="R29" s="3"/>
      <c r="S29" s="3"/>
      <c r="T29" s="3"/>
      <c r="U29" s="3"/>
      <c r="V29" s="3"/>
      <c r="W29" s="3"/>
      <c r="X29" s="3"/>
      <c r="Y29" s="3"/>
    </row>
    <row r="30" spans="1:25" ht="15.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row>
    <row r="31" spans="1:25" ht="15.75" customHeight="1" x14ac:dyDescent="0.3">
      <c r="A31" s="3"/>
      <c r="B31" s="3"/>
      <c r="C31" s="3"/>
      <c r="D31" s="3"/>
      <c r="E31" s="3"/>
      <c r="F31" s="3"/>
      <c r="G31" s="3"/>
      <c r="H31" s="3"/>
      <c r="I31" s="3"/>
      <c r="J31" s="3"/>
      <c r="K31" s="3"/>
      <c r="L31" s="3"/>
      <c r="M31" s="3"/>
      <c r="N31" s="19" t="s">
        <v>239</v>
      </c>
      <c r="O31" s="10"/>
      <c r="P31" s="10"/>
      <c r="Q31" s="10"/>
      <c r="R31" s="3"/>
      <c r="S31" s="3"/>
      <c r="T31" s="3"/>
      <c r="U31" s="3"/>
      <c r="V31" s="3"/>
      <c r="W31" s="3"/>
      <c r="X31" s="3"/>
      <c r="Y31" s="3"/>
    </row>
    <row r="32" spans="1:25" ht="15.75" customHeight="1" x14ac:dyDescent="0.3">
      <c r="A32" s="3"/>
      <c r="B32" s="3"/>
      <c r="C32" s="3"/>
      <c r="D32" s="3"/>
      <c r="E32" s="3"/>
      <c r="F32" s="3"/>
      <c r="G32" s="3"/>
      <c r="H32" s="3"/>
      <c r="I32" s="3"/>
      <c r="J32" s="3"/>
      <c r="K32" s="3"/>
      <c r="L32" s="3"/>
      <c r="M32" s="3"/>
      <c r="N32" s="8" t="s">
        <v>183</v>
      </c>
      <c r="O32" s="8" t="s">
        <v>240</v>
      </c>
      <c r="P32" s="8" t="s">
        <v>241</v>
      </c>
      <c r="Q32" s="8" t="s">
        <v>242</v>
      </c>
      <c r="R32" s="3"/>
      <c r="S32" s="3"/>
      <c r="T32" s="3"/>
      <c r="U32" s="3"/>
      <c r="V32" s="3"/>
      <c r="W32" s="3"/>
      <c r="X32" s="3"/>
      <c r="Y32" s="3"/>
    </row>
    <row r="33" spans="1:25" ht="15.75" customHeight="1" x14ac:dyDescent="0.3">
      <c r="A33" s="3"/>
      <c r="B33" s="3"/>
      <c r="C33" s="3"/>
      <c r="D33" s="3"/>
      <c r="E33" s="3"/>
      <c r="F33" s="3"/>
      <c r="G33" s="3"/>
      <c r="H33" s="3"/>
      <c r="I33" s="3"/>
      <c r="J33" s="3"/>
      <c r="K33" s="3"/>
      <c r="L33" s="3"/>
      <c r="M33" s="3"/>
      <c r="N33" s="32" t="s">
        <v>195</v>
      </c>
      <c r="O33" s="24">
        <f>COUNTIFS($C$2:$C$1000,N33)</f>
        <v>6</v>
      </c>
      <c r="P33" s="28">
        <f>ROUND(AVERAGEIFS($D$2:$D$1000,$C$2:$C$1000,N33),0)</f>
        <v>80952</v>
      </c>
      <c r="Q33" s="28">
        <f>SUMIFS($D$2:$D$1000,$C$2:$C$1000,N33)</f>
        <v>485714</v>
      </c>
      <c r="R33" s="3"/>
      <c r="S33" s="3"/>
      <c r="T33" s="3"/>
      <c r="U33" s="3"/>
      <c r="V33" s="3"/>
      <c r="W33" s="3"/>
      <c r="X33" s="3"/>
      <c r="Y33" s="3"/>
    </row>
    <row r="34" spans="1:25" ht="15.75" customHeight="1" x14ac:dyDescent="0.3">
      <c r="A34" s="3"/>
      <c r="B34" s="3"/>
      <c r="C34" s="3"/>
      <c r="D34" s="3"/>
      <c r="E34" s="3"/>
      <c r="F34" s="3"/>
      <c r="G34" s="3"/>
      <c r="H34" s="3"/>
      <c r="I34" s="3"/>
      <c r="J34" s="3"/>
      <c r="K34" s="3"/>
      <c r="L34" s="3"/>
      <c r="M34" s="3"/>
      <c r="N34" s="32" t="s">
        <v>199</v>
      </c>
      <c r="O34" s="24">
        <f>COUNTIFS($C$2:$C$1000,N34)</f>
        <v>6</v>
      </c>
      <c r="P34" s="28">
        <f>ROUND(AVERAGEIFS($D$2:$D$1000,$C$2:$C$1000,N34),0)</f>
        <v>69619</v>
      </c>
      <c r="Q34" s="28">
        <f>SUMIFS($D$2:$D$1000,$C$2:$C$1000,N34)</f>
        <v>417713</v>
      </c>
      <c r="R34" s="3"/>
      <c r="S34" s="3"/>
      <c r="T34" s="3"/>
      <c r="U34" s="3"/>
      <c r="V34" s="3"/>
      <c r="W34" s="3"/>
      <c r="X34" s="3"/>
      <c r="Y34" s="3"/>
    </row>
    <row r="35" spans="1:25" ht="15.75" customHeight="1" x14ac:dyDescent="0.3">
      <c r="A35" s="3"/>
      <c r="B35" s="3"/>
      <c r="C35" s="3"/>
      <c r="D35" s="3"/>
      <c r="E35" s="3"/>
      <c r="F35" s="3"/>
      <c r="G35" s="3"/>
      <c r="H35" s="3"/>
      <c r="I35" s="3"/>
      <c r="J35" s="3"/>
      <c r="K35" s="3"/>
      <c r="L35" s="3"/>
      <c r="M35" s="3"/>
      <c r="N35" s="32" t="s">
        <v>203</v>
      </c>
      <c r="O35" s="24">
        <f>COUNTIFS($C$2:$C$1000,N35)</f>
        <v>5</v>
      </c>
      <c r="P35" s="28">
        <f>ROUND(AVERAGEIFS($D$2:$D$1000,$C$2:$C$1000,N35),0)</f>
        <v>86241</v>
      </c>
      <c r="Q35" s="28">
        <f>SUMIFS($D$2:$D$1000,$C$2:$C$1000,N35)</f>
        <v>431204</v>
      </c>
      <c r="R35" s="3"/>
      <c r="S35" s="3"/>
      <c r="T35" s="3"/>
      <c r="U35" s="3"/>
      <c r="V35" s="3"/>
      <c r="W35" s="3"/>
      <c r="X35" s="3"/>
      <c r="Y35" s="3"/>
    </row>
    <row r="36" spans="1:25" ht="15.75" customHeight="1" x14ac:dyDescent="0.3">
      <c r="A36" s="3"/>
      <c r="B36" s="3"/>
      <c r="C36" s="3"/>
      <c r="D36" s="3"/>
      <c r="E36" s="3"/>
      <c r="F36" s="3"/>
      <c r="G36" s="3"/>
      <c r="H36" s="3"/>
      <c r="I36" s="3"/>
      <c r="J36" s="3"/>
      <c r="K36" s="3"/>
      <c r="L36" s="3"/>
      <c r="M36" s="3"/>
      <c r="N36" s="32" t="s">
        <v>208</v>
      </c>
      <c r="O36" s="24">
        <f>COUNTIFS($C$2:$C$1000,N36)</f>
        <v>3</v>
      </c>
      <c r="P36" s="28">
        <f>ROUND(AVERAGEIFS($D$2:$D$1000,$C$2:$C$1000,N36),0)</f>
        <v>84056</v>
      </c>
      <c r="Q36" s="28">
        <f>SUMIFS($D$2:$D$1000,$C$2:$C$1000,N36)</f>
        <v>252167</v>
      </c>
      <c r="R36" s="3"/>
      <c r="S36" s="3"/>
      <c r="T36" s="3"/>
      <c r="U36" s="3"/>
      <c r="V36" s="3"/>
      <c r="W36" s="3"/>
      <c r="X36" s="3"/>
      <c r="Y36" s="3"/>
    </row>
    <row r="37" spans="1:25" ht="15.75" customHeight="1" x14ac:dyDescent="0.3">
      <c r="A37" s="3"/>
      <c r="B37" s="3"/>
      <c r="C37" s="3"/>
      <c r="D37" s="3"/>
      <c r="E37" s="3"/>
      <c r="F37" s="3"/>
      <c r="G37" s="3"/>
      <c r="H37" s="3"/>
      <c r="I37" s="3"/>
      <c r="J37" s="3"/>
      <c r="K37" s="3"/>
      <c r="L37" s="3"/>
      <c r="M37" s="3"/>
      <c r="N37" s="37" t="s">
        <v>243</v>
      </c>
      <c r="O37" s="38">
        <f>SUM(O33:O36)</f>
        <v>20</v>
      </c>
      <c r="P37" s="33">
        <f>ROUND(AVERAGE($D$2:$D$1000),0)</f>
        <v>79340</v>
      </c>
      <c r="Q37" s="33">
        <f>SUM(Q33:Q36)</f>
        <v>1586798</v>
      </c>
      <c r="R37" s="3"/>
      <c r="S37" s="3"/>
      <c r="T37" s="3"/>
      <c r="U37" s="3"/>
      <c r="V37" s="3"/>
      <c r="W37" s="3"/>
      <c r="X37" s="3"/>
      <c r="Y37" s="3"/>
    </row>
    <row r="38" spans="1:25" ht="15.7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autoFilter ref="A1:L22" xr:uid="{00000000-0009-0000-0000-000003000000}"/>
  <conditionalFormatting sqref="J2:J21">
    <cfRule type="cellIs" dxfId="0" priority="1" operator="equal">
      <formula>"Upcoming"</formula>
    </cfRule>
  </conditionalFormatting>
  <dataValidations count="3">
    <dataValidation type="list" sqref="O6 O17" xr:uid="{00000000-0002-0000-0300-000000000000}">
      <formula1>$A$2:$A$21</formula1>
    </dataValidation>
    <dataValidation type="list" sqref="O18" xr:uid="{00000000-0002-0000-0300-000001000000}">
      <formula1>$A$1:$F$1</formula1>
    </dataValidation>
    <dataValidation type="list" sqref="O13" xr:uid="{00000000-0002-0000-0300-000002000000}">
      <formula1>$B$2:$B$21</formula1>
    </dataValidation>
  </dataValidations>
  <pageMargins left="0.75" right="0.75" top="1" bottom="1"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kishal Gosai</cp:lastModifiedBy>
  <dcterms:created xsi:type="dcterms:W3CDTF">2026-10-01T07:49:09Z</dcterms:created>
  <dcterms:modified xsi:type="dcterms:W3CDTF">2026-10-01T07:56:51Z</dcterms:modified>
</cp:coreProperties>
</file>